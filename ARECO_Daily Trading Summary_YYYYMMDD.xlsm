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Daily Submission\Daily Trading Summary\Daily Trading Summary\"/>
    </mc:Choice>
  </mc:AlternateContent>
  <xr:revisionPtr revIDLastSave="0" documentId="8_{D4BB7DB6-69C3-4865-8D1F-1155513A69D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structions" sheetId="15" r:id="rId1"/>
    <sheet name="Summary_for print" sheetId="6" r:id="rId2"/>
    <sheet name="Summary" sheetId="8" state="hidden" r:id="rId3"/>
    <sheet name="Trading Report" sheetId="1" r:id="rId4"/>
    <sheet name="MQ" sheetId="9" r:id="rId5"/>
    <sheet name="TA" sheetId="3" r:id="rId6"/>
    <sheet name="Compliance" sheetId="4" r:id="rId7"/>
    <sheet name="RTD Sched &amp; Prices" sheetId="14" r:id="rId8"/>
    <sheet name="Bid Log" sheetId="5" r:id="rId9"/>
    <sheet name="MPI" sheetId="7" r:id="rId10"/>
  </sheets>
  <definedNames>
    <definedName name="_xlnm._FilterDatabase" localSheetId="6" hidden="1">Compliance!$O$1:$P$1</definedName>
    <definedName name="_xlnm.Print_Area" localSheetId="4">MQ!$A$1:$Y$26</definedName>
    <definedName name="_xlnm.Print_Area" localSheetId="1">'Summary_for print'!$A$1:$S$53</definedName>
    <definedName name="_xlnm.Print_Area" localSheetId="5">TA!$A$1:$G$293</definedName>
    <definedName name="_xlnm.Print_Area" localSheetId="3">'Trading Report'!$A$1:$F$291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5" l="1"/>
  <c r="H3" i="6" s="1"/>
  <c r="H26" i="8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3" i="1"/>
  <c r="AC16" i="8" l="1"/>
  <c r="I17" i="8"/>
  <c r="I76" i="8" s="1"/>
  <c r="W16" i="8"/>
  <c r="T17" i="8"/>
  <c r="T76" i="8" s="1"/>
  <c r="T19" i="8"/>
  <c r="P17" i="8"/>
  <c r="P76" i="8" s="1"/>
  <c r="S18" i="8"/>
  <c r="O16" i="8"/>
  <c r="X16" i="8"/>
  <c r="P16" i="8"/>
  <c r="X17" i="8"/>
  <c r="X76" i="8" s="1"/>
  <c r="T16" i="8"/>
  <c r="P19" i="8"/>
  <c r="U19" i="8"/>
  <c r="Q17" i="8"/>
  <c r="Q76" i="8" s="1"/>
  <c r="M16" i="8"/>
  <c r="Z17" i="8"/>
  <c r="Z76" i="8" s="1"/>
  <c r="W19" i="8"/>
  <c r="V18" i="8"/>
  <c r="S17" i="8"/>
  <c r="S76" i="8" s="1"/>
  <c r="R16" i="8"/>
  <c r="O18" i="8"/>
  <c r="N19" i="8"/>
  <c r="Y16" i="8"/>
  <c r="Z16" i="8"/>
  <c r="V19" i="8"/>
  <c r="R18" i="8"/>
  <c r="N16" i="8"/>
  <c r="Z18" i="8"/>
  <c r="V16" i="8"/>
  <c r="AC17" i="8"/>
  <c r="AC76" i="8" s="1"/>
  <c r="R17" i="8"/>
  <c r="R76" i="8" s="1"/>
  <c r="T18" i="8"/>
  <c r="Q16" i="8"/>
  <c r="U18" i="8"/>
  <c r="X19" i="8"/>
  <c r="AD18" i="8"/>
  <c r="J17" i="8"/>
  <c r="J76" i="8" s="1"/>
  <c r="V17" i="8"/>
  <c r="V76" i="8" s="1"/>
  <c r="X18" i="8"/>
  <c r="Z19" i="8"/>
  <c r="J19" i="8"/>
  <c r="S16" i="8"/>
  <c r="U17" i="8"/>
  <c r="U76" i="8" s="1"/>
  <c r="W18" i="8"/>
  <c r="Y19" i="8"/>
  <c r="AD19" i="8"/>
  <c r="U16" i="8"/>
  <c r="W17" i="8"/>
  <c r="W76" i="8" s="1"/>
  <c r="Y18" i="8"/>
  <c r="Y17" i="8"/>
  <c r="Y76" i="8" s="1"/>
  <c r="M19" i="8"/>
  <c r="AE19" i="8"/>
  <c r="AA16" i="8"/>
  <c r="O19" i="8"/>
  <c r="AA19" i="8"/>
  <c r="K17" i="8"/>
  <c r="K76" i="8" s="1"/>
  <c r="AE18" i="8"/>
  <c r="AB18" i="8"/>
  <c r="K19" i="8"/>
  <c r="M18" i="8"/>
  <c r="N18" i="8"/>
  <c r="M17" i="8"/>
  <c r="M76" i="8" s="1"/>
  <c r="Q19" i="8"/>
  <c r="P18" i="8"/>
  <c r="I16" i="8"/>
  <c r="N17" i="8"/>
  <c r="N76" i="8" s="1"/>
  <c r="R19" i="8"/>
  <c r="H19" i="8"/>
  <c r="AB16" i="8"/>
  <c r="L17" i="8"/>
  <c r="L76" i="8" s="1"/>
  <c r="O17" i="8"/>
  <c r="O76" i="8" s="1"/>
  <c r="Q18" i="8"/>
  <c r="S19" i="8"/>
  <c r="I18" i="8"/>
  <c r="J16" i="8"/>
  <c r="AD16" i="8"/>
  <c r="AA17" i="8"/>
  <c r="AA76" i="8" s="1"/>
  <c r="AE16" i="8"/>
  <c r="AB17" i="8"/>
  <c r="AB76" i="8" s="1"/>
  <c r="AA18" i="8"/>
  <c r="AD17" i="8"/>
  <c r="AD76" i="8" s="1"/>
  <c r="AE17" i="8"/>
  <c r="AE76" i="8" s="1"/>
  <c r="AC18" i="8"/>
  <c r="AB19" i="8"/>
  <c r="AC19" i="8"/>
  <c r="K18" i="8"/>
  <c r="D6" i="8"/>
  <c r="J18" i="8"/>
  <c r="L16" i="8"/>
  <c r="H17" i="8"/>
  <c r="H76" i="8" s="1"/>
  <c r="I19" i="8"/>
  <c r="C6" i="8"/>
  <c r="L18" i="8"/>
  <c r="K16" i="8"/>
  <c r="E6" i="8"/>
  <c r="L19" i="8"/>
  <c r="H16" i="8"/>
  <c r="H18" i="8"/>
  <c r="G291" i="1"/>
  <c r="H33" i="8"/>
  <c r="X32" i="8"/>
  <c r="E8" i="8"/>
  <c r="I44" i="8"/>
  <c r="AB32" i="8"/>
  <c r="T33" i="8"/>
  <c r="P33" i="8"/>
  <c r="L32" i="8"/>
  <c r="AB46" i="8"/>
  <c r="X46" i="8"/>
  <c r="T47" i="8"/>
  <c r="P47" i="8"/>
  <c r="L44" i="8"/>
  <c r="U33" i="8"/>
  <c r="I32" i="8"/>
  <c r="AC46" i="8"/>
  <c r="Y46" i="8"/>
  <c r="U47" i="8"/>
  <c r="Q47" i="8"/>
  <c r="M46" i="8"/>
  <c r="I46" i="8"/>
  <c r="Y32" i="8"/>
  <c r="AD32" i="8"/>
  <c r="Z30" i="8"/>
  <c r="V33" i="8"/>
  <c r="R33" i="8"/>
  <c r="N32" i="8"/>
  <c r="J32" i="8"/>
  <c r="AD46" i="8"/>
  <c r="Z46" i="8"/>
  <c r="V47" i="8"/>
  <c r="R47" i="8"/>
  <c r="N46" i="8"/>
  <c r="J46" i="8"/>
  <c r="V32" i="8"/>
  <c r="J33" i="8"/>
  <c r="Z47" i="8"/>
  <c r="V46" i="8"/>
  <c r="R46" i="8"/>
  <c r="N47" i="8"/>
  <c r="J47" i="8"/>
  <c r="Q33" i="8"/>
  <c r="R32" i="8"/>
  <c r="AD47" i="8"/>
  <c r="Z32" i="8"/>
  <c r="AE31" i="8"/>
  <c r="AE77" i="8" s="1"/>
  <c r="W32" i="8"/>
  <c r="S33" i="8"/>
  <c r="O33" i="8"/>
  <c r="K32" i="8"/>
  <c r="AE47" i="8"/>
  <c r="AA46" i="8"/>
  <c r="W46" i="8"/>
  <c r="S47" i="8"/>
  <c r="O47" i="8"/>
  <c r="K46" i="8"/>
  <c r="N33" i="8"/>
  <c r="AA32" i="8"/>
  <c r="AC32" i="8"/>
  <c r="O32" i="8"/>
  <c r="AE46" i="8"/>
  <c r="AA47" i="8"/>
  <c r="W47" i="8"/>
  <c r="S46" i="8"/>
  <c r="O46" i="8"/>
  <c r="K47" i="8"/>
  <c r="M32" i="8"/>
  <c r="AD33" i="8"/>
  <c r="W33" i="8"/>
  <c r="AE33" i="8"/>
  <c r="S32" i="8"/>
  <c r="AA33" i="8"/>
  <c r="K33" i="8"/>
  <c r="N30" i="8"/>
  <c r="AD30" i="8"/>
  <c r="V31" i="8"/>
  <c r="V77" i="8" s="1"/>
  <c r="N44" i="8"/>
  <c r="AD44" i="8"/>
  <c r="V45" i="8"/>
  <c r="O30" i="8"/>
  <c r="AE30" i="8"/>
  <c r="W31" i="8"/>
  <c r="W77" i="8" s="1"/>
  <c r="AE32" i="8"/>
  <c r="O44" i="8"/>
  <c r="AE44" i="8"/>
  <c r="W45" i="8"/>
  <c r="P30" i="8"/>
  <c r="H31" i="8"/>
  <c r="H77" i="8" s="1"/>
  <c r="X31" i="8"/>
  <c r="X77" i="8" s="1"/>
  <c r="P32" i="8"/>
  <c r="X33" i="8"/>
  <c r="P44" i="8"/>
  <c r="H45" i="8"/>
  <c r="X45" i="8"/>
  <c r="P46" i="8"/>
  <c r="H47" i="8"/>
  <c r="X47" i="8"/>
  <c r="I31" i="8"/>
  <c r="I77" i="8" s="1"/>
  <c r="I33" i="8"/>
  <c r="Y33" i="8"/>
  <c r="Y45" i="8"/>
  <c r="Q46" i="8"/>
  <c r="I47" i="8"/>
  <c r="Y47" i="8"/>
  <c r="Q30" i="8"/>
  <c r="Q32" i="8"/>
  <c r="Q44" i="8"/>
  <c r="R30" i="8"/>
  <c r="J31" i="8"/>
  <c r="J77" i="8" s="1"/>
  <c r="Z31" i="8"/>
  <c r="Z77" i="8" s="1"/>
  <c r="Z33" i="8"/>
  <c r="R44" i="8"/>
  <c r="J45" i="8"/>
  <c r="Z45" i="8"/>
  <c r="Y31" i="8"/>
  <c r="Y77" i="8" s="1"/>
  <c r="I45" i="8"/>
  <c r="S30" i="8"/>
  <c r="K31" i="8"/>
  <c r="K77" i="8" s="1"/>
  <c r="AA31" i="8"/>
  <c r="AA77" i="8" s="1"/>
  <c r="S44" i="8"/>
  <c r="K45" i="8"/>
  <c r="AA45" i="8"/>
  <c r="T30" i="8"/>
  <c r="L31" i="8"/>
  <c r="L77" i="8" s="1"/>
  <c r="AB31" i="8"/>
  <c r="AB77" i="8" s="1"/>
  <c r="T32" i="8"/>
  <c r="L33" i="8"/>
  <c r="AB33" i="8"/>
  <c r="T44" i="8"/>
  <c r="L45" i="8"/>
  <c r="AB45" i="8"/>
  <c r="T46" i="8"/>
  <c r="L47" i="8"/>
  <c r="AB47" i="8"/>
  <c r="U30" i="8"/>
  <c r="M31" i="8"/>
  <c r="M77" i="8" s="1"/>
  <c r="U32" i="8"/>
  <c r="M33" i="8"/>
  <c r="AC33" i="8"/>
  <c r="U44" i="8"/>
  <c r="M45" i="8"/>
  <c r="AC45" i="8"/>
  <c r="U46" i="8"/>
  <c r="M47" i="8"/>
  <c r="AC47" i="8"/>
  <c r="AC31" i="8"/>
  <c r="AC77" i="8" s="1"/>
  <c r="V30" i="8"/>
  <c r="N31" i="8"/>
  <c r="N77" i="8" s="1"/>
  <c r="AD31" i="8"/>
  <c r="AD77" i="8" s="1"/>
  <c r="V44" i="8"/>
  <c r="N45" i="8"/>
  <c r="AD45" i="8"/>
  <c r="H291" i="1"/>
  <c r="W30" i="8"/>
  <c r="O31" i="8"/>
  <c r="O77" i="8" s="1"/>
  <c r="W44" i="8"/>
  <c r="O45" i="8"/>
  <c r="AE45" i="8"/>
  <c r="H30" i="8"/>
  <c r="X30" i="8"/>
  <c r="P31" i="8"/>
  <c r="P77" i="8" s="1"/>
  <c r="H32" i="8"/>
  <c r="H44" i="8"/>
  <c r="X44" i="8"/>
  <c r="P45" i="8"/>
  <c r="H46" i="8"/>
  <c r="C7" i="8"/>
  <c r="I30" i="8"/>
  <c r="Y30" i="8"/>
  <c r="Q31" i="8"/>
  <c r="Q77" i="8" s="1"/>
  <c r="Y44" i="8"/>
  <c r="Q45" i="8"/>
  <c r="C8" i="8"/>
  <c r="J30" i="8"/>
  <c r="R31" i="8"/>
  <c r="R77" i="8" s="1"/>
  <c r="J44" i="8"/>
  <c r="Z44" i="8"/>
  <c r="R45" i="8"/>
  <c r="D7" i="8"/>
  <c r="K30" i="8"/>
  <c r="AA30" i="8"/>
  <c r="S31" i="8"/>
  <c r="S77" i="8" s="1"/>
  <c r="K44" i="8"/>
  <c r="AA44" i="8"/>
  <c r="S45" i="8"/>
  <c r="D8" i="8"/>
  <c r="L30" i="8"/>
  <c r="AB30" i="8"/>
  <c r="T31" i="8"/>
  <c r="T77" i="8" s="1"/>
  <c r="AB44" i="8"/>
  <c r="T45" i="8"/>
  <c r="L46" i="8"/>
  <c r="E7" i="8"/>
  <c r="M30" i="8"/>
  <c r="AC30" i="8"/>
  <c r="U31" i="8"/>
  <c r="U77" i="8" s="1"/>
  <c r="M44" i="8"/>
  <c r="AC44" i="8"/>
  <c r="U45" i="8"/>
  <c r="I291" i="1"/>
  <c r="B6" i="8" l="1"/>
  <c r="B15" i="6" a="1"/>
  <c r="B25" i="6" s="1"/>
  <c r="C15" i="6" a="1"/>
  <c r="C35" i="6" s="1"/>
  <c r="D15" i="6" a="1"/>
  <c r="B8" i="8"/>
  <c r="B7" i="8"/>
  <c r="Q93" i="1"/>
  <c r="Q94" i="1"/>
  <c r="Q95" i="1"/>
  <c r="Q96" i="1"/>
  <c r="Q97" i="1"/>
  <c r="Q98" i="1"/>
  <c r="Q92" i="1"/>
  <c r="Q91" i="1"/>
  <c r="G52" i="6"/>
  <c r="C52" i="6"/>
  <c r="L51" i="6" s="1"/>
  <c r="C15" i="6" l="1"/>
  <c r="B17" i="6"/>
  <c r="B27" i="6"/>
  <c r="B32" i="6"/>
  <c r="B22" i="6"/>
  <c r="C18" i="6"/>
  <c r="B34" i="6"/>
  <c r="C33" i="6"/>
  <c r="B18" i="6"/>
  <c r="B31" i="6"/>
  <c r="B36" i="6"/>
  <c r="B38" i="6"/>
  <c r="B15" i="6"/>
  <c r="B30" i="6"/>
  <c r="C20" i="6"/>
  <c r="B33" i="6"/>
  <c r="B35" i="6"/>
  <c r="B16" i="6"/>
  <c r="B19" i="6"/>
  <c r="C19" i="6"/>
  <c r="B20" i="6"/>
  <c r="C22" i="6"/>
  <c r="C34" i="6"/>
  <c r="C28" i="6"/>
  <c r="B21" i="6"/>
  <c r="B26" i="6"/>
  <c r="C27" i="6"/>
  <c r="B37" i="6"/>
  <c r="C25" i="6"/>
  <c r="C17" i="6"/>
  <c r="C26" i="6"/>
  <c r="C16" i="6"/>
  <c r="C31" i="6"/>
  <c r="C32" i="6"/>
  <c r="B23" i="6"/>
  <c r="C24" i="6"/>
  <c r="C29" i="6"/>
  <c r="B28" i="6"/>
  <c r="B24" i="6"/>
  <c r="C37" i="6"/>
  <c r="B29" i="6"/>
  <c r="C23" i="6"/>
  <c r="C36" i="6"/>
  <c r="C21" i="6"/>
  <c r="C30" i="6"/>
  <c r="C38" i="6"/>
  <c r="D37" i="6"/>
  <c r="D26" i="6"/>
  <c r="D23" i="6"/>
  <c r="D22" i="6"/>
  <c r="D20" i="6"/>
  <c r="D25" i="6"/>
  <c r="D19" i="6"/>
  <c r="D18" i="6"/>
  <c r="D17" i="6"/>
  <c r="D33" i="6"/>
  <c r="D38" i="6"/>
  <c r="D16" i="6"/>
  <c r="D29" i="6"/>
  <c r="D27" i="6"/>
  <c r="D36" i="6"/>
  <c r="D35" i="6"/>
  <c r="D34" i="6"/>
  <c r="D32" i="6"/>
  <c r="D24" i="6"/>
  <c r="D28" i="6"/>
  <c r="D21" i="6"/>
  <c r="D30" i="6"/>
  <c r="D15" i="6"/>
  <c r="D31" i="6"/>
  <c r="E12" i="8"/>
  <c r="D12" i="8"/>
  <c r="C12" i="8"/>
  <c r="E5" i="8"/>
  <c r="D5" i="8"/>
  <c r="C5" i="8"/>
  <c r="E4" i="8"/>
  <c r="D4" i="8"/>
  <c r="C4" i="8"/>
  <c r="C291" i="1"/>
  <c r="B3" i="8" s="1"/>
  <c r="E3" i="8"/>
  <c r="D3" i="8"/>
  <c r="C3" i="8"/>
  <c r="D2" i="4"/>
  <c r="C2" i="4"/>
  <c r="L27" i="4"/>
  <c r="L26" i="4"/>
  <c r="Y37" i="9" l="1"/>
  <c r="E19" i="3" l="1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3" i="3"/>
  <c r="C30" i="9"/>
  <c r="D30" i="9"/>
  <c r="E30" i="9"/>
  <c r="F30" i="9"/>
  <c r="G30" i="9"/>
  <c r="H30" i="9"/>
  <c r="I30" i="9"/>
  <c r="J30" i="9"/>
  <c r="K30" i="9"/>
  <c r="L30" i="9"/>
  <c r="M30" i="9"/>
  <c r="N30" i="9"/>
  <c r="O30" i="9"/>
  <c r="P30" i="9"/>
  <c r="Q30" i="9"/>
  <c r="R30" i="9"/>
  <c r="S30" i="9"/>
  <c r="T30" i="9"/>
  <c r="U30" i="9"/>
  <c r="V30" i="9"/>
  <c r="W30" i="9"/>
  <c r="X30" i="9"/>
  <c r="Y30" i="9"/>
  <c r="C31" i="9"/>
  <c r="D31" i="9"/>
  <c r="E31" i="9"/>
  <c r="F31" i="9"/>
  <c r="G31" i="9"/>
  <c r="H31" i="9"/>
  <c r="I31" i="9"/>
  <c r="J31" i="9"/>
  <c r="K31" i="9"/>
  <c r="L31" i="9"/>
  <c r="M31" i="9"/>
  <c r="N31" i="9"/>
  <c r="O31" i="9"/>
  <c r="P31" i="9"/>
  <c r="Q31" i="9"/>
  <c r="R31" i="9"/>
  <c r="S31" i="9"/>
  <c r="T31" i="9"/>
  <c r="U31" i="9"/>
  <c r="V31" i="9"/>
  <c r="W31" i="9"/>
  <c r="X31" i="9"/>
  <c r="Y31" i="9"/>
  <c r="C32" i="9"/>
  <c r="D32" i="9"/>
  <c r="E32" i="9"/>
  <c r="F32" i="9"/>
  <c r="G32" i="9"/>
  <c r="H32" i="9"/>
  <c r="I32" i="9"/>
  <c r="J32" i="9"/>
  <c r="K32" i="9"/>
  <c r="L32" i="9"/>
  <c r="M32" i="9"/>
  <c r="N32" i="9"/>
  <c r="O32" i="9"/>
  <c r="P32" i="9"/>
  <c r="Q32" i="9"/>
  <c r="R32" i="9"/>
  <c r="S32" i="9"/>
  <c r="T32" i="9"/>
  <c r="U32" i="9"/>
  <c r="V32" i="9"/>
  <c r="W32" i="9"/>
  <c r="X32" i="9"/>
  <c r="Y32" i="9"/>
  <c r="C33" i="9"/>
  <c r="D33" i="9"/>
  <c r="E33" i="9"/>
  <c r="F33" i="9"/>
  <c r="G33" i="9"/>
  <c r="H33" i="9"/>
  <c r="I33" i="9"/>
  <c r="J33" i="9"/>
  <c r="K33" i="9"/>
  <c r="L33" i="9"/>
  <c r="M33" i="9"/>
  <c r="N33" i="9"/>
  <c r="O33" i="9"/>
  <c r="P33" i="9"/>
  <c r="Q33" i="9"/>
  <c r="R33" i="9"/>
  <c r="S33" i="9"/>
  <c r="T33" i="9"/>
  <c r="U33" i="9"/>
  <c r="V33" i="9"/>
  <c r="W33" i="9"/>
  <c r="X33" i="9"/>
  <c r="Y33" i="9"/>
  <c r="C34" i="9"/>
  <c r="D34" i="9"/>
  <c r="E34" i="9"/>
  <c r="F34" i="9"/>
  <c r="G34" i="9"/>
  <c r="H34" i="9"/>
  <c r="I34" i="9"/>
  <c r="J34" i="9"/>
  <c r="K34" i="9"/>
  <c r="L34" i="9"/>
  <c r="M34" i="9"/>
  <c r="N34" i="9"/>
  <c r="O34" i="9"/>
  <c r="P34" i="9"/>
  <c r="Q34" i="9"/>
  <c r="R34" i="9"/>
  <c r="S34" i="9"/>
  <c r="T34" i="9"/>
  <c r="U34" i="9"/>
  <c r="V34" i="9"/>
  <c r="W34" i="9"/>
  <c r="X34" i="9"/>
  <c r="Y34" i="9"/>
  <c r="C35" i="9"/>
  <c r="D35" i="9"/>
  <c r="E35" i="9"/>
  <c r="F35" i="9"/>
  <c r="G35" i="9"/>
  <c r="H35" i="9"/>
  <c r="I35" i="9"/>
  <c r="J35" i="9"/>
  <c r="K35" i="9"/>
  <c r="L35" i="9"/>
  <c r="M35" i="9"/>
  <c r="N35" i="9"/>
  <c r="O35" i="9"/>
  <c r="P35" i="9"/>
  <c r="Q35" i="9"/>
  <c r="R35" i="9"/>
  <c r="S35" i="9"/>
  <c r="T35" i="9"/>
  <c r="U35" i="9"/>
  <c r="V35" i="9"/>
  <c r="W35" i="9"/>
  <c r="X35" i="9"/>
  <c r="Y35" i="9"/>
  <c r="C36" i="9"/>
  <c r="D36" i="9"/>
  <c r="E36" i="9"/>
  <c r="F36" i="9"/>
  <c r="G36" i="9"/>
  <c r="H36" i="9"/>
  <c r="I36" i="9"/>
  <c r="J36" i="9"/>
  <c r="K36" i="9"/>
  <c r="L36" i="9"/>
  <c r="M36" i="9"/>
  <c r="N36" i="9"/>
  <c r="O36" i="9"/>
  <c r="P36" i="9"/>
  <c r="Q36" i="9"/>
  <c r="R36" i="9"/>
  <c r="S36" i="9"/>
  <c r="T36" i="9"/>
  <c r="U36" i="9"/>
  <c r="V36" i="9"/>
  <c r="W36" i="9"/>
  <c r="X36" i="9"/>
  <c r="Y36" i="9"/>
  <c r="C37" i="9"/>
  <c r="D37" i="9"/>
  <c r="E37" i="9"/>
  <c r="F37" i="9"/>
  <c r="G37" i="9"/>
  <c r="H37" i="9"/>
  <c r="I37" i="9"/>
  <c r="J37" i="9"/>
  <c r="K37" i="9"/>
  <c r="L37" i="9"/>
  <c r="M37" i="9"/>
  <c r="N37" i="9"/>
  <c r="O37" i="9"/>
  <c r="P37" i="9"/>
  <c r="Q37" i="9"/>
  <c r="R37" i="9"/>
  <c r="S37" i="9"/>
  <c r="T37" i="9"/>
  <c r="U37" i="9"/>
  <c r="V37" i="9"/>
  <c r="W37" i="9"/>
  <c r="X37" i="9"/>
  <c r="C38" i="9"/>
  <c r="D38" i="9"/>
  <c r="E38" i="9"/>
  <c r="F38" i="9"/>
  <c r="G38" i="9"/>
  <c r="H38" i="9"/>
  <c r="I38" i="9"/>
  <c r="J38" i="9"/>
  <c r="K38" i="9"/>
  <c r="L38" i="9"/>
  <c r="M38" i="9"/>
  <c r="N38" i="9"/>
  <c r="O38" i="9"/>
  <c r="P38" i="9"/>
  <c r="Q38" i="9"/>
  <c r="R38" i="9"/>
  <c r="S38" i="9"/>
  <c r="T38" i="9"/>
  <c r="U38" i="9"/>
  <c r="V38" i="9"/>
  <c r="W38" i="9"/>
  <c r="X38" i="9"/>
  <c r="Y38" i="9"/>
  <c r="C39" i="9"/>
  <c r="D39" i="9"/>
  <c r="E39" i="9"/>
  <c r="F39" i="9"/>
  <c r="G39" i="9"/>
  <c r="H39" i="9"/>
  <c r="I39" i="9"/>
  <c r="J39" i="9"/>
  <c r="K39" i="9"/>
  <c r="L39" i="9"/>
  <c r="M39" i="9"/>
  <c r="N39" i="9"/>
  <c r="O39" i="9"/>
  <c r="P39" i="9"/>
  <c r="Q39" i="9"/>
  <c r="R39" i="9"/>
  <c r="S39" i="9"/>
  <c r="T39" i="9"/>
  <c r="U39" i="9"/>
  <c r="V39" i="9"/>
  <c r="W39" i="9"/>
  <c r="X39" i="9"/>
  <c r="Y39" i="9"/>
  <c r="C40" i="9"/>
  <c r="D40" i="9"/>
  <c r="E40" i="9"/>
  <c r="F40" i="9"/>
  <c r="G40" i="9"/>
  <c r="H40" i="9"/>
  <c r="I40" i="9"/>
  <c r="J40" i="9"/>
  <c r="K40" i="9"/>
  <c r="L40" i="9"/>
  <c r="M40" i="9"/>
  <c r="N40" i="9"/>
  <c r="O40" i="9"/>
  <c r="P40" i="9"/>
  <c r="Q40" i="9"/>
  <c r="R40" i="9"/>
  <c r="S40" i="9"/>
  <c r="T40" i="9"/>
  <c r="U40" i="9"/>
  <c r="V40" i="9"/>
  <c r="W40" i="9"/>
  <c r="X40" i="9"/>
  <c r="Y40" i="9"/>
  <c r="C41" i="9"/>
  <c r="D41" i="9"/>
  <c r="E41" i="9"/>
  <c r="F41" i="9"/>
  <c r="G41" i="9"/>
  <c r="H41" i="9"/>
  <c r="I41" i="9"/>
  <c r="J41" i="9"/>
  <c r="K41" i="9"/>
  <c r="L41" i="9"/>
  <c r="M41" i="9"/>
  <c r="N41" i="9"/>
  <c r="O41" i="9"/>
  <c r="P41" i="9"/>
  <c r="Q41" i="9"/>
  <c r="R41" i="9"/>
  <c r="S41" i="9"/>
  <c r="T41" i="9"/>
  <c r="U41" i="9"/>
  <c r="V41" i="9"/>
  <c r="W41" i="9"/>
  <c r="X41" i="9"/>
  <c r="Y41" i="9"/>
  <c r="C42" i="9"/>
  <c r="D42" i="9"/>
  <c r="E42" i="9"/>
  <c r="F42" i="9"/>
  <c r="G42" i="9"/>
  <c r="H42" i="9"/>
  <c r="I42" i="9"/>
  <c r="J42" i="9"/>
  <c r="K42" i="9"/>
  <c r="L42" i="9"/>
  <c r="M42" i="9"/>
  <c r="N42" i="9"/>
  <c r="O42" i="9"/>
  <c r="P42" i="9"/>
  <c r="Q42" i="9"/>
  <c r="R42" i="9"/>
  <c r="S42" i="9"/>
  <c r="T42" i="9"/>
  <c r="U42" i="9"/>
  <c r="V42" i="9"/>
  <c r="W42" i="9"/>
  <c r="X42" i="9"/>
  <c r="Y42" i="9"/>
  <c r="C43" i="9"/>
  <c r="D43" i="9"/>
  <c r="E43" i="9"/>
  <c r="F43" i="9"/>
  <c r="G43" i="9"/>
  <c r="H43" i="9"/>
  <c r="I43" i="9"/>
  <c r="J43" i="9"/>
  <c r="K43" i="9"/>
  <c r="L43" i="9"/>
  <c r="M43" i="9"/>
  <c r="N43" i="9"/>
  <c r="O43" i="9"/>
  <c r="P43" i="9"/>
  <c r="Q43" i="9"/>
  <c r="R43" i="9"/>
  <c r="S43" i="9"/>
  <c r="T43" i="9"/>
  <c r="U43" i="9"/>
  <c r="V43" i="9"/>
  <c r="W43" i="9"/>
  <c r="X43" i="9"/>
  <c r="Y43" i="9"/>
  <c r="C44" i="9"/>
  <c r="D44" i="9"/>
  <c r="E44" i="9"/>
  <c r="F44" i="9"/>
  <c r="G44" i="9"/>
  <c r="H44" i="9"/>
  <c r="I44" i="9"/>
  <c r="J44" i="9"/>
  <c r="K44" i="9"/>
  <c r="L44" i="9"/>
  <c r="M44" i="9"/>
  <c r="N44" i="9"/>
  <c r="O44" i="9"/>
  <c r="P44" i="9"/>
  <c r="Q44" i="9"/>
  <c r="R44" i="9"/>
  <c r="S44" i="9"/>
  <c r="T44" i="9"/>
  <c r="U44" i="9"/>
  <c r="V44" i="9"/>
  <c r="W44" i="9"/>
  <c r="X44" i="9"/>
  <c r="Y44" i="9"/>
  <c r="C45" i="9"/>
  <c r="D45" i="9"/>
  <c r="E45" i="9"/>
  <c r="F45" i="9"/>
  <c r="G45" i="9"/>
  <c r="H45" i="9"/>
  <c r="I45" i="9"/>
  <c r="J45" i="9"/>
  <c r="K45" i="9"/>
  <c r="L45" i="9"/>
  <c r="M45" i="9"/>
  <c r="N45" i="9"/>
  <c r="O45" i="9"/>
  <c r="P45" i="9"/>
  <c r="Q45" i="9"/>
  <c r="R45" i="9"/>
  <c r="S45" i="9"/>
  <c r="T45" i="9"/>
  <c r="U45" i="9"/>
  <c r="V45" i="9"/>
  <c r="W45" i="9"/>
  <c r="X45" i="9"/>
  <c r="Y45" i="9"/>
  <c r="C46" i="9"/>
  <c r="D46" i="9"/>
  <c r="E46" i="9"/>
  <c r="F46" i="9"/>
  <c r="G46" i="9"/>
  <c r="H46" i="9"/>
  <c r="I46" i="9"/>
  <c r="J46" i="9"/>
  <c r="K46" i="9"/>
  <c r="L46" i="9"/>
  <c r="M46" i="9"/>
  <c r="N46" i="9"/>
  <c r="O46" i="9"/>
  <c r="P46" i="9"/>
  <c r="Q46" i="9"/>
  <c r="R46" i="9"/>
  <c r="S46" i="9"/>
  <c r="T46" i="9"/>
  <c r="U46" i="9"/>
  <c r="V46" i="9"/>
  <c r="W46" i="9"/>
  <c r="X46" i="9"/>
  <c r="Y46" i="9"/>
  <c r="C47" i="9"/>
  <c r="D47" i="9"/>
  <c r="E47" i="9"/>
  <c r="F47" i="9"/>
  <c r="G47" i="9"/>
  <c r="H47" i="9"/>
  <c r="I47" i="9"/>
  <c r="J47" i="9"/>
  <c r="K47" i="9"/>
  <c r="L47" i="9"/>
  <c r="M47" i="9"/>
  <c r="N47" i="9"/>
  <c r="O47" i="9"/>
  <c r="P47" i="9"/>
  <c r="Q47" i="9"/>
  <c r="R47" i="9"/>
  <c r="S47" i="9"/>
  <c r="T47" i="9"/>
  <c r="U47" i="9"/>
  <c r="V47" i="9"/>
  <c r="W47" i="9"/>
  <c r="X47" i="9"/>
  <c r="Y47" i="9"/>
  <c r="C48" i="9"/>
  <c r="D48" i="9"/>
  <c r="E48" i="9"/>
  <c r="F48" i="9"/>
  <c r="G48" i="9"/>
  <c r="H48" i="9"/>
  <c r="I48" i="9"/>
  <c r="J48" i="9"/>
  <c r="K48" i="9"/>
  <c r="L48" i="9"/>
  <c r="M48" i="9"/>
  <c r="N48" i="9"/>
  <c r="O48" i="9"/>
  <c r="P48" i="9"/>
  <c r="Q48" i="9"/>
  <c r="R48" i="9"/>
  <c r="S48" i="9"/>
  <c r="T48" i="9"/>
  <c r="U48" i="9"/>
  <c r="V48" i="9"/>
  <c r="W48" i="9"/>
  <c r="X48" i="9"/>
  <c r="Y48" i="9"/>
  <c r="C49" i="9"/>
  <c r="D49" i="9"/>
  <c r="E49" i="9"/>
  <c r="F49" i="9"/>
  <c r="G49" i="9"/>
  <c r="H49" i="9"/>
  <c r="I49" i="9"/>
  <c r="J49" i="9"/>
  <c r="K49" i="9"/>
  <c r="L49" i="9"/>
  <c r="M49" i="9"/>
  <c r="N49" i="9"/>
  <c r="O49" i="9"/>
  <c r="P49" i="9"/>
  <c r="Q49" i="9"/>
  <c r="R49" i="9"/>
  <c r="S49" i="9"/>
  <c r="T49" i="9"/>
  <c r="U49" i="9"/>
  <c r="V49" i="9"/>
  <c r="W49" i="9"/>
  <c r="X49" i="9"/>
  <c r="Y49" i="9"/>
  <c r="C50" i="9"/>
  <c r="D50" i="9"/>
  <c r="E50" i="9"/>
  <c r="F50" i="9"/>
  <c r="G50" i="9"/>
  <c r="H50" i="9"/>
  <c r="I50" i="9"/>
  <c r="J50" i="9"/>
  <c r="K50" i="9"/>
  <c r="L50" i="9"/>
  <c r="M50" i="9"/>
  <c r="N50" i="9"/>
  <c r="O50" i="9"/>
  <c r="P50" i="9"/>
  <c r="Q50" i="9"/>
  <c r="R50" i="9"/>
  <c r="S50" i="9"/>
  <c r="T50" i="9"/>
  <c r="U50" i="9"/>
  <c r="V50" i="9"/>
  <c r="W50" i="9"/>
  <c r="X50" i="9"/>
  <c r="Y50" i="9"/>
  <c r="C51" i="9"/>
  <c r="D51" i="9"/>
  <c r="E51" i="9"/>
  <c r="F51" i="9"/>
  <c r="G51" i="9"/>
  <c r="H51" i="9"/>
  <c r="I51" i="9"/>
  <c r="J51" i="9"/>
  <c r="K51" i="9"/>
  <c r="L51" i="9"/>
  <c r="M51" i="9"/>
  <c r="N51" i="9"/>
  <c r="O51" i="9"/>
  <c r="P51" i="9"/>
  <c r="Q51" i="9"/>
  <c r="R51" i="9"/>
  <c r="S51" i="9"/>
  <c r="T51" i="9"/>
  <c r="U51" i="9"/>
  <c r="V51" i="9"/>
  <c r="W51" i="9"/>
  <c r="X51" i="9"/>
  <c r="Y51" i="9"/>
  <c r="C52" i="9"/>
  <c r="D52" i="9"/>
  <c r="E52" i="9"/>
  <c r="F52" i="9"/>
  <c r="G52" i="9"/>
  <c r="H52" i="9"/>
  <c r="I52" i="9"/>
  <c r="J52" i="9"/>
  <c r="K52" i="9"/>
  <c r="L52" i="9"/>
  <c r="M52" i="9"/>
  <c r="N52" i="9"/>
  <c r="O52" i="9"/>
  <c r="P52" i="9"/>
  <c r="Q52" i="9"/>
  <c r="R52" i="9"/>
  <c r="S52" i="9"/>
  <c r="T52" i="9"/>
  <c r="U52" i="9"/>
  <c r="V52" i="9"/>
  <c r="W52" i="9"/>
  <c r="X52" i="9"/>
  <c r="Y52" i="9"/>
  <c r="C53" i="9"/>
  <c r="D53" i="9"/>
  <c r="E53" i="9"/>
  <c r="F53" i="9"/>
  <c r="G53" i="9"/>
  <c r="H53" i="9"/>
  <c r="I53" i="9"/>
  <c r="J53" i="9"/>
  <c r="K53" i="9"/>
  <c r="L53" i="9"/>
  <c r="M53" i="9"/>
  <c r="N53" i="9"/>
  <c r="O53" i="9"/>
  <c r="P53" i="9"/>
  <c r="Q53" i="9"/>
  <c r="R53" i="9"/>
  <c r="S53" i="9"/>
  <c r="T53" i="9"/>
  <c r="U53" i="9"/>
  <c r="V53" i="9"/>
  <c r="W53" i="9"/>
  <c r="X53" i="9"/>
  <c r="Y53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30" i="9"/>
  <c r="E292" i="3" l="1"/>
  <c r="G39" i="6" s="1"/>
  <c r="E15" i="8"/>
  <c r="H4" i="8"/>
  <c r="D15" i="8"/>
  <c r="C15" i="8"/>
  <c r="J66" i="9"/>
  <c r="AD131" i="9" s="1"/>
  <c r="J131" i="1" s="1"/>
  <c r="R57" i="9"/>
  <c r="AE17" i="9" s="1"/>
  <c r="T57" i="9"/>
  <c r="AE19" i="9" s="1"/>
  <c r="U57" i="9"/>
  <c r="AE20" i="9" s="1"/>
  <c r="W57" i="9"/>
  <c r="AE22" i="9" s="1"/>
  <c r="M57" i="9"/>
  <c r="AD26" i="9" s="1"/>
  <c r="G58" i="9"/>
  <c r="AD32" i="9" s="1"/>
  <c r="P59" i="9"/>
  <c r="V59" i="9"/>
  <c r="AE45" i="9" s="1"/>
  <c r="M59" i="9"/>
  <c r="AD50" i="9" s="1"/>
  <c r="AA59" i="9"/>
  <c r="AE50" i="9" s="1"/>
  <c r="P60" i="9"/>
  <c r="C60" i="9"/>
  <c r="AD52" i="9" s="1"/>
  <c r="F60" i="9"/>
  <c r="AD55" i="9" s="1"/>
  <c r="H60" i="9"/>
  <c r="AD57" i="9" s="1"/>
  <c r="B62" i="9"/>
  <c r="AA62" i="9"/>
  <c r="AE86" i="9" s="1"/>
  <c r="I63" i="9"/>
  <c r="AD94" i="9" s="1"/>
  <c r="C64" i="9"/>
  <c r="AD100" i="9" s="1"/>
  <c r="X64" i="9"/>
  <c r="AE107" i="9" s="1"/>
  <c r="G65" i="9"/>
  <c r="AD116" i="9" s="1"/>
  <c r="H65" i="9"/>
  <c r="AD117" i="9" s="1"/>
  <c r="J65" i="9"/>
  <c r="AD119" i="9" s="1"/>
  <c r="S66" i="9"/>
  <c r="AE126" i="9" s="1"/>
  <c r="P67" i="9"/>
  <c r="D67" i="9"/>
  <c r="AD137" i="9" s="1"/>
  <c r="K67" i="9"/>
  <c r="AD144" i="9" s="1"/>
  <c r="P68" i="9"/>
  <c r="P69" i="9"/>
  <c r="L72" i="9"/>
  <c r="AD205" i="9" s="1"/>
  <c r="J73" i="9"/>
  <c r="AD215" i="9" s="1"/>
  <c r="M73" i="9"/>
  <c r="AD218" i="9" s="1"/>
  <c r="B74" i="9"/>
  <c r="C76" i="9"/>
  <c r="AD244" i="9" s="1"/>
  <c r="U76" i="9"/>
  <c r="AE248" i="9" s="1"/>
  <c r="B77" i="9"/>
  <c r="E77" i="9"/>
  <c r="AD258" i="9" s="1"/>
  <c r="K77" i="9"/>
  <c r="AD264" i="9" s="1"/>
  <c r="E130" i="4" l="1"/>
  <c r="AE135" i="9"/>
  <c r="AD219" i="9"/>
  <c r="AD255" i="9"/>
  <c r="AE159" i="9"/>
  <c r="D159" i="3" s="1"/>
  <c r="G159" i="3" s="1"/>
  <c r="AE147" i="9"/>
  <c r="D147" i="3" s="1"/>
  <c r="G147" i="3" s="1"/>
  <c r="AE51" i="9"/>
  <c r="D51" i="3" s="1"/>
  <c r="G51" i="3" s="1"/>
  <c r="AE39" i="9"/>
  <c r="AD75" i="9"/>
  <c r="C131" i="3"/>
  <c r="F131" i="3" s="1"/>
  <c r="D135" i="3"/>
  <c r="G135" i="3" s="1"/>
  <c r="K56" i="9"/>
  <c r="AD12" i="9" s="1"/>
  <c r="Q56" i="9"/>
  <c r="AE4" i="9" s="1"/>
  <c r="X78" i="9"/>
  <c r="AE275" i="9" s="1"/>
  <c r="X76" i="9"/>
  <c r="AE251" i="9" s="1"/>
  <c r="T75" i="9"/>
  <c r="AE235" i="9" s="1"/>
  <c r="P74" i="9"/>
  <c r="X72" i="9"/>
  <c r="AE203" i="9" s="1"/>
  <c r="T71" i="9"/>
  <c r="AE187" i="9" s="1"/>
  <c r="P70" i="9"/>
  <c r="T68" i="9"/>
  <c r="AE151" i="9" s="1"/>
  <c r="T67" i="9"/>
  <c r="AE139" i="9" s="1"/>
  <c r="F64" i="9"/>
  <c r="AD103" i="9" s="1"/>
  <c r="F63" i="9"/>
  <c r="AD91" i="9" s="1"/>
  <c r="F62" i="9"/>
  <c r="AD79" i="9" s="1"/>
  <c r="B61" i="9"/>
  <c r="B60" i="9"/>
  <c r="B58" i="9"/>
  <c r="B56" i="9"/>
  <c r="J56" i="9"/>
  <c r="AD11" i="9" s="1"/>
  <c r="F56" i="9"/>
  <c r="AD7" i="9" s="1"/>
  <c r="AA79" i="9"/>
  <c r="AE290" i="9" s="1"/>
  <c r="W79" i="9"/>
  <c r="AE286" i="9" s="1"/>
  <c r="S79" i="9"/>
  <c r="AE282" i="9" s="1"/>
  <c r="AA78" i="9"/>
  <c r="AE278" i="9" s="1"/>
  <c r="W78" i="9"/>
  <c r="AE274" i="9" s="1"/>
  <c r="S78" i="9"/>
  <c r="AE270" i="9" s="1"/>
  <c r="AA77" i="9"/>
  <c r="AE266" i="9" s="1"/>
  <c r="W77" i="9"/>
  <c r="AE262" i="9" s="1"/>
  <c r="S77" i="9"/>
  <c r="AE258" i="9" s="1"/>
  <c r="AA76" i="9"/>
  <c r="AE254" i="9" s="1"/>
  <c r="W76" i="9"/>
  <c r="AE250" i="9" s="1"/>
  <c r="S76" i="9"/>
  <c r="AE246" i="9" s="1"/>
  <c r="AA75" i="9"/>
  <c r="AE242" i="9" s="1"/>
  <c r="W75" i="9"/>
  <c r="AE238" i="9" s="1"/>
  <c r="S75" i="9"/>
  <c r="AE234" i="9" s="1"/>
  <c r="AA74" i="9"/>
  <c r="AE230" i="9" s="1"/>
  <c r="W74" i="9"/>
  <c r="AE226" i="9" s="1"/>
  <c r="S74" i="9"/>
  <c r="AE222" i="9" s="1"/>
  <c r="AA73" i="9"/>
  <c r="AE218" i="9" s="1"/>
  <c r="W73" i="9"/>
  <c r="AE214" i="9" s="1"/>
  <c r="S73" i="9"/>
  <c r="AE210" i="9" s="1"/>
  <c r="AA72" i="9"/>
  <c r="AE206" i="9" s="1"/>
  <c r="W72" i="9"/>
  <c r="AE202" i="9" s="1"/>
  <c r="S72" i="9"/>
  <c r="AE198" i="9" s="1"/>
  <c r="AA71" i="9"/>
  <c r="AE194" i="9" s="1"/>
  <c r="W71" i="9"/>
  <c r="AE190" i="9" s="1"/>
  <c r="S71" i="9"/>
  <c r="AE186" i="9" s="1"/>
  <c r="AA70" i="9"/>
  <c r="AE182" i="9" s="1"/>
  <c r="W70" i="9"/>
  <c r="AE178" i="9" s="1"/>
  <c r="S70" i="9"/>
  <c r="AE174" i="9" s="1"/>
  <c r="AA69" i="9"/>
  <c r="AE170" i="9" s="1"/>
  <c r="W69" i="9"/>
  <c r="AE166" i="9" s="1"/>
  <c r="S69" i="9"/>
  <c r="AE162" i="9" s="1"/>
  <c r="AA68" i="9"/>
  <c r="AE158" i="9" s="1"/>
  <c r="W68" i="9"/>
  <c r="AE154" i="9" s="1"/>
  <c r="S68" i="9"/>
  <c r="AE150" i="9" s="1"/>
  <c r="AA67" i="9"/>
  <c r="AE146" i="9" s="1"/>
  <c r="W67" i="9"/>
  <c r="AE142" i="9" s="1"/>
  <c r="S67" i="9"/>
  <c r="AE138" i="9" s="1"/>
  <c r="AA66" i="9"/>
  <c r="AE134" i="9" s="1"/>
  <c r="I66" i="9"/>
  <c r="AD130" i="9" s="1"/>
  <c r="E66" i="9"/>
  <c r="AD126" i="9" s="1"/>
  <c r="M65" i="9"/>
  <c r="AD122" i="9" s="1"/>
  <c r="I65" i="9"/>
  <c r="AD118" i="9" s="1"/>
  <c r="E65" i="9"/>
  <c r="AD114" i="9" s="1"/>
  <c r="M64" i="9"/>
  <c r="AD110" i="9" s="1"/>
  <c r="I64" i="9"/>
  <c r="AD106" i="9" s="1"/>
  <c r="E64" i="9"/>
  <c r="AD102" i="9" s="1"/>
  <c r="M63" i="9"/>
  <c r="AD98" i="9" s="1"/>
  <c r="E63" i="9"/>
  <c r="AD90" i="9" s="1"/>
  <c r="M62" i="9"/>
  <c r="AD86" i="9" s="1"/>
  <c r="I62" i="9"/>
  <c r="AD82" i="9" s="1"/>
  <c r="E62" i="9"/>
  <c r="AD78" i="9" s="1"/>
  <c r="M61" i="9"/>
  <c r="AD74" i="9" s="1"/>
  <c r="I61" i="9"/>
  <c r="AD70" i="9" s="1"/>
  <c r="E61" i="9"/>
  <c r="AD66" i="9" s="1"/>
  <c r="M60" i="9"/>
  <c r="AD62" i="9" s="1"/>
  <c r="I60" i="9"/>
  <c r="AD58" i="9" s="1"/>
  <c r="E60" i="9"/>
  <c r="AD54" i="9" s="1"/>
  <c r="I59" i="9"/>
  <c r="AD46" i="9" s="1"/>
  <c r="E59" i="9"/>
  <c r="AD42" i="9" s="1"/>
  <c r="M58" i="9"/>
  <c r="AD38" i="9" s="1"/>
  <c r="I58" i="9"/>
  <c r="AD34" i="9" s="1"/>
  <c r="E58" i="9"/>
  <c r="AD30" i="9" s="1"/>
  <c r="I57" i="9"/>
  <c r="AD22" i="9" s="1"/>
  <c r="E57" i="9"/>
  <c r="AD18" i="9" s="1"/>
  <c r="P78" i="9"/>
  <c r="P76" i="9"/>
  <c r="X74" i="9"/>
  <c r="AE227" i="9" s="1"/>
  <c r="T73" i="9"/>
  <c r="AE211" i="9" s="1"/>
  <c r="X71" i="9"/>
  <c r="AE191" i="9" s="1"/>
  <c r="T70" i="9"/>
  <c r="AE175" i="9" s="1"/>
  <c r="X67" i="9"/>
  <c r="AE143" i="9" s="1"/>
  <c r="F66" i="9"/>
  <c r="AD127" i="9" s="1"/>
  <c r="J64" i="9"/>
  <c r="AD107" i="9" s="1"/>
  <c r="F59" i="9"/>
  <c r="AD43" i="9" s="1"/>
  <c r="AA56" i="9"/>
  <c r="AE14" i="9" s="1"/>
  <c r="W56" i="9"/>
  <c r="AE10" i="9" s="1"/>
  <c r="S56" i="9"/>
  <c r="AE6" i="9" s="1"/>
  <c r="M79" i="9"/>
  <c r="AD290" i="9" s="1"/>
  <c r="I79" i="9"/>
  <c r="AD286" i="9" s="1"/>
  <c r="E79" i="9"/>
  <c r="AD282" i="9" s="1"/>
  <c r="M78" i="9"/>
  <c r="AD278" i="9" s="1"/>
  <c r="I78" i="9"/>
  <c r="AD274" i="9" s="1"/>
  <c r="E78" i="9"/>
  <c r="AD270" i="9" s="1"/>
  <c r="M77" i="9"/>
  <c r="AD266" i="9" s="1"/>
  <c r="I77" i="9"/>
  <c r="AD262" i="9" s="1"/>
  <c r="M76" i="9"/>
  <c r="AD254" i="9" s="1"/>
  <c r="I76" i="9"/>
  <c r="AD250" i="9" s="1"/>
  <c r="E76" i="9"/>
  <c r="AD246" i="9" s="1"/>
  <c r="M75" i="9"/>
  <c r="AD242" i="9" s="1"/>
  <c r="I75" i="9"/>
  <c r="AD238" i="9" s="1"/>
  <c r="E75" i="9"/>
  <c r="AD234" i="9" s="1"/>
  <c r="M74" i="9"/>
  <c r="AD230" i="9" s="1"/>
  <c r="I74" i="9"/>
  <c r="AD226" i="9" s="1"/>
  <c r="E74" i="9"/>
  <c r="AD222" i="9" s="1"/>
  <c r="I73" i="9"/>
  <c r="AD214" i="9" s="1"/>
  <c r="E73" i="9"/>
  <c r="AD210" i="9" s="1"/>
  <c r="M72" i="9"/>
  <c r="AD206" i="9" s="1"/>
  <c r="I72" i="9"/>
  <c r="AD202" i="9" s="1"/>
  <c r="E72" i="9"/>
  <c r="AD198" i="9" s="1"/>
  <c r="M71" i="9"/>
  <c r="AD194" i="9" s="1"/>
  <c r="I71" i="9"/>
  <c r="AD190" i="9" s="1"/>
  <c r="E71" i="9"/>
  <c r="AD186" i="9" s="1"/>
  <c r="M70" i="9"/>
  <c r="AD182" i="9" s="1"/>
  <c r="I70" i="9"/>
  <c r="AD178" i="9" s="1"/>
  <c r="E70" i="9"/>
  <c r="AD174" i="9" s="1"/>
  <c r="M69" i="9"/>
  <c r="AD170" i="9" s="1"/>
  <c r="I69" i="9"/>
  <c r="AD166" i="9" s="1"/>
  <c r="E69" i="9"/>
  <c r="AD162" i="9" s="1"/>
  <c r="M68" i="9"/>
  <c r="AD158" i="9" s="1"/>
  <c r="I68" i="9"/>
  <c r="AD154" i="9" s="1"/>
  <c r="E68" i="9"/>
  <c r="AD150" i="9" s="1"/>
  <c r="M67" i="9"/>
  <c r="AD146" i="9" s="1"/>
  <c r="I67" i="9"/>
  <c r="AD142" i="9" s="1"/>
  <c r="E67" i="9"/>
  <c r="AD138" i="9" s="1"/>
  <c r="M66" i="9"/>
  <c r="AD134" i="9" s="1"/>
  <c r="V66" i="9"/>
  <c r="AE129" i="9" s="1"/>
  <c r="R66" i="9"/>
  <c r="AE125" i="9" s="1"/>
  <c r="Z65" i="9"/>
  <c r="AE121" i="9" s="1"/>
  <c r="V65" i="9"/>
  <c r="AE117" i="9" s="1"/>
  <c r="R65" i="9"/>
  <c r="AE113" i="9" s="1"/>
  <c r="Z64" i="9"/>
  <c r="AE109" i="9" s="1"/>
  <c r="V64" i="9"/>
  <c r="AE105" i="9" s="1"/>
  <c r="R64" i="9"/>
  <c r="AE101" i="9" s="1"/>
  <c r="Z63" i="9"/>
  <c r="AE97" i="9" s="1"/>
  <c r="V63" i="9"/>
  <c r="AE93" i="9" s="1"/>
  <c r="R63" i="9"/>
  <c r="AE89" i="9" s="1"/>
  <c r="Z62" i="9"/>
  <c r="AE85" i="9" s="1"/>
  <c r="V62" i="9"/>
  <c r="AE81" i="9" s="1"/>
  <c r="R62" i="9"/>
  <c r="AE77" i="9" s="1"/>
  <c r="Z61" i="9"/>
  <c r="AE73" i="9" s="1"/>
  <c r="V61" i="9"/>
  <c r="AE69" i="9" s="1"/>
  <c r="R61" i="9"/>
  <c r="AE65" i="9" s="1"/>
  <c r="Z60" i="9"/>
  <c r="AE61" i="9" s="1"/>
  <c r="V60" i="9"/>
  <c r="AE57" i="9" s="1"/>
  <c r="R60" i="9"/>
  <c r="AE53" i="9" s="1"/>
  <c r="Z59" i="9"/>
  <c r="AE49" i="9" s="1"/>
  <c r="R59" i="9"/>
  <c r="AE41" i="9" s="1"/>
  <c r="Z58" i="9"/>
  <c r="AE37" i="9" s="1"/>
  <c r="V58" i="9"/>
  <c r="AE33" i="9" s="1"/>
  <c r="R58" i="9"/>
  <c r="AE29" i="9" s="1"/>
  <c r="Z57" i="9"/>
  <c r="AE25" i="9" s="1"/>
  <c r="V57" i="9"/>
  <c r="AE21" i="9" s="1"/>
  <c r="P79" i="9"/>
  <c r="E56" i="9"/>
  <c r="AD6" i="9" s="1"/>
  <c r="Z78" i="9"/>
  <c r="AE277" i="9" s="1"/>
  <c r="R77" i="9"/>
  <c r="AE257" i="9" s="1"/>
  <c r="Z75" i="9"/>
  <c r="AE241" i="9" s="1"/>
  <c r="V74" i="9"/>
  <c r="AE225" i="9" s="1"/>
  <c r="R73" i="9"/>
  <c r="AE209" i="9" s="1"/>
  <c r="Z71" i="9"/>
  <c r="AE193" i="9" s="1"/>
  <c r="R70" i="9"/>
  <c r="AE173" i="9" s="1"/>
  <c r="Z68" i="9"/>
  <c r="AE157" i="9" s="1"/>
  <c r="V67" i="9"/>
  <c r="AE141" i="9" s="1"/>
  <c r="D66" i="9"/>
  <c r="AD125" i="9" s="1"/>
  <c r="L64" i="9"/>
  <c r="AD109" i="9" s="1"/>
  <c r="H63" i="9"/>
  <c r="AD93" i="9" s="1"/>
  <c r="D62" i="9"/>
  <c r="AD77" i="9" s="1"/>
  <c r="D59" i="9"/>
  <c r="AD41" i="9" s="1"/>
  <c r="H58" i="9"/>
  <c r="AD33" i="9" s="1"/>
  <c r="D57" i="9"/>
  <c r="AD17" i="9" s="1"/>
  <c r="C56" i="9"/>
  <c r="AD4" i="9" s="1"/>
  <c r="T77" i="9"/>
  <c r="AE259" i="9" s="1"/>
  <c r="Z79" i="9"/>
  <c r="AE289" i="9" s="1"/>
  <c r="V78" i="9"/>
  <c r="AE273" i="9" s="1"/>
  <c r="V77" i="9"/>
  <c r="AE261" i="9" s="1"/>
  <c r="R76" i="9"/>
  <c r="AE245" i="9" s="1"/>
  <c r="Z74" i="9"/>
  <c r="AE229" i="9" s="1"/>
  <c r="V73" i="9"/>
  <c r="AE213" i="9" s="1"/>
  <c r="R72" i="9"/>
  <c r="AE197" i="9" s="1"/>
  <c r="Z70" i="9"/>
  <c r="AE181" i="9" s="1"/>
  <c r="V69" i="9"/>
  <c r="AE165" i="9" s="1"/>
  <c r="R68" i="9"/>
  <c r="AE149" i="9" s="1"/>
  <c r="Z66" i="9"/>
  <c r="AE133" i="9" s="1"/>
  <c r="L65" i="9"/>
  <c r="AD121" i="9" s="1"/>
  <c r="H64" i="9"/>
  <c r="AD105" i="9" s="1"/>
  <c r="D63" i="9"/>
  <c r="AD89" i="9" s="1"/>
  <c r="L61" i="9"/>
  <c r="AD73" i="9" s="1"/>
  <c r="L60" i="9"/>
  <c r="AD61" i="9" s="1"/>
  <c r="H59" i="9"/>
  <c r="AD45" i="9" s="1"/>
  <c r="L58" i="9"/>
  <c r="AD37" i="9" s="1"/>
  <c r="D58" i="9"/>
  <c r="AD29" i="9" s="1"/>
  <c r="Z56" i="9"/>
  <c r="AE13" i="9" s="1"/>
  <c r="L79" i="9"/>
  <c r="AD289" i="9" s="1"/>
  <c r="H79" i="9"/>
  <c r="AD285" i="9" s="1"/>
  <c r="D79" i="9"/>
  <c r="AD281" i="9" s="1"/>
  <c r="L78" i="9"/>
  <c r="AD277" i="9" s="1"/>
  <c r="H78" i="9"/>
  <c r="AD273" i="9" s="1"/>
  <c r="D78" i="9"/>
  <c r="AD269" i="9" s="1"/>
  <c r="L77" i="9"/>
  <c r="AD265" i="9" s="1"/>
  <c r="H77" i="9"/>
  <c r="AD261" i="9" s="1"/>
  <c r="D77" i="9"/>
  <c r="AD257" i="9" s="1"/>
  <c r="L76" i="9"/>
  <c r="AD253" i="9" s="1"/>
  <c r="H76" i="9"/>
  <c r="AD249" i="9" s="1"/>
  <c r="D76" i="9"/>
  <c r="AD245" i="9" s="1"/>
  <c r="L75" i="9"/>
  <c r="AD241" i="9" s="1"/>
  <c r="H75" i="9"/>
  <c r="AD237" i="9" s="1"/>
  <c r="D75" i="9"/>
  <c r="AD233" i="9" s="1"/>
  <c r="L74" i="9"/>
  <c r="AD229" i="9" s="1"/>
  <c r="H74" i="9"/>
  <c r="AD225" i="9" s="1"/>
  <c r="D74" i="9"/>
  <c r="AD221" i="9" s="1"/>
  <c r="L73" i="9"/>
  <c r="AD217" i="9" s="1"/>
  <c r="H73" i="9"/>
  <c r="AD213" i="9" s="1"/>
  <c r="D73" i="9"/>
  <c r="AD209" i="9" s="1"/>
  <c r="H72" i="9"/>
  <c r="AD201" i="9" s="1"/>
  <c r="D72" i="9"/>
  <c r="AD197" i="9" s="1"/>
  <c r="L71" i="9"/>
  <c r="AD193" i="9" s="1"/>
  <c r="H71" i="9"/>
  <c r="AD189" i="9" s="1"/>
  <c r="D71" i="9"/>
  <c r="AD185" i="9" s="1"/>
  <c r="L70" i="9"/>
  <c r="AD181" i="9" s="1"/>
  <c r="H70" i="9"/>
  <c r="AD177" i="9" s="1"/>
  <c r="D70" i="9"/>
  <c r="AD173" i="9" s="1"/>
  <c r="L69" i="9"/>
  <c r="AD169" i="9" s="1"/>
  <c r="H69" i="9"/>
  <c r="AD165" i="9" s="1"/>
  <c r="D69" i="9"/>
  <c r="AD161" i="9" s="1"/>
  <c r="L68" i="9"/>
  <c r="AD157" i="9" s="1"/>
  <c r="H68" i="9"/>
  <c r="AD153" i="9" s="1"/>
  <c r="D68" i="9"/>
  <c r="AD149" i="9" s="1"/>
  <c r="L67" i="9"/>
  <c r="AD145" i="9" s="1"/>
  <c r="H67" i="9"/>
  <c r="AD141" i="9" s="1"/>
  <c r="L66" i="9"/>
  <c r="AD133" i="9" s="1"/>
  <c r="U66" i="9"/>
  <c r="AE128" i="9" s="1"/>
  <c r="Q66" i="9"/>
  <c r="AE124" i="9" s="1"/>
  <c r="Y65" i="9"/>
  <c r="AE120" i="9" s="1"/>
  <c r="U65" i="9"/>
  <c r="AE116" i="9" s="1"/>
  <c r="Q65" i="9"/>
  <c r="AE112" i="9" s="1"/>
  <c r="Y64" i="9"/>
  <c r="AE108" i="9" s="1"/>
  <c r="U64" i="9"/>
  <c r="AE104" i="9" s="1"/>
  <c r="Q64" i="9"/>
  <c r="AE100" i="9" s="1"/>
  <c r="Y63" i="9"/>
  <c r="AE96" i="9" s="1"/>
  <c r="U63" i="9"/>
  <c r="AE92" i="9" s="1"/>
  <c r="Q63" i="9"/>
  <c r="AE88" i="9" s="1"/>
  <c r="Y62" i="9"/>
  <c r="AE84" i="9" s="1"/>
  <c r="U62" i="9"/>
  <c r="AE80" i="9" s="1"/>
  <c r="Q62" i="9"/>
  <c r="AE76" i="9" s="1"/>
  <c r="Y61" i="9"/>
  <c r="AE72" i="9" s="1"/>
  <c r="U61" i="9"/>
  <c r="AE68" i="9" s="1"/>
  <c r="Q61" i="9"/>
  <c r="AE64" i="9" s="1"/>
  <c r="Y60" i="9"/>
  <c r="AE60" i="9" s="1"/>
  <c r="U60" i="9"/>
  <c r="AE56" i="9" s="1"/>
  <c r="Q60" i="9"/>
  <c r="AE52" i="9" s="1"/>
  <c r="Y59" i="9"/>
  <c r="AE48" i="9" s="1"/>
  <c r="U59" i="9"/>
  <c r="AE44" i="9" s="1"/>
  <c r="Q59" i="9"/>
  <c r="AE40" i="9" s="1"/>
  <c r="Y58" i="9"/>
  <c r="AE36" i="9" s="1"/>
  <c r="U58" i="9"/>
  <c r="AE32" i="9" s="1"/>
  <c r="Q58" i="9"/>
  <c r="AE28" i="9" s="1"/>
  <c r="Y57" i="9"/>
  <c r="AE24" i="9" s="1"/>
  <c r="Q57" i="9"/>
  <c r="AE16" i="9" s="1"/>
  <c r="G56" i="9"/>
  <c r="AD8" i="9" s="1"/>
  <c r="X77" i="9"/>
  <c r="AE263" i="9" s="1"/>
  <c r="I56" i="9"/>
  <c r="AD10" i="9" s="1"/>
  <c r="R79" i="9"/>
  <c r="AE281" i="9" s="1"/>
  <c r="Z77" i="9"/>
  <c r="AE265" i="9" s="1"/>
  <c r="V76" i="9"/>
  <c r="AE249" i="9" s="1"/>
  <c r="R75" i="9"/>
  <c r="AE233" i="9" s="1"/>
  <c r="Z73" i="9"/>
  <c r="AE217" i="9" s="1"/>
  <c r="V72" i="9"/>
  <c r="AE201" i="9" s="1"/>
  <c r="R71" i="9"/>
  <c r="AE185" i="9" s="1"/>
  <c r="Z69" i="9"/>
  <c r="AE169" i="9" s="1"/>
  <c r="V68" i="9"/>
  <c r="AE153" i="9" s="1"/>
  <c r="R67" i="9"/>
  <c r="AE137" i="9" s="1"/>
  <c r="D64" i="9"/>
  <c r="AD101" i="9" s="1"/>
  <c r="L62" i="9"/>
  <c r="AD85" i="9" s="1"/>
  <c r="H61" i="9"/>
  <c r="AD69" i="9" s="1"/>
  <c r="D60" i="9"/>
  <c r="AD53" i="9" s="1"/>
  <c r="L57" i="9"/>
  <c r="AD25" i="9" s="1"/>
  <c r="V56" i="9"/>
  <c r="AE9" i="9" s="1"/>
  <c r="L56" i="9"/>
  <c r="AD13" i="9" s="1"/>
  <c r="D56" i="9"/>
  <c r="AD5" i="9" s="1"/>
  <c r="U79" i="9"/>
  <c r="AE284" i="9" s="1"/>
  <c r="Y78" i="9"/>
  <c r="AE276" i="9" s="1"/>
  <c r="Q78" i="9"/>
  <c r="AE268" i="9" s="1"/>
  <c r="Y77" i="9"/>
  <c r="AE264" i="9" s="1"/>
  <c r="U77" i="9"/>
  <c r="AE260" i="9" s="1"/>
  <c r="Q77" i="9"/>
  <c r="AE256" i="9" s="1"/>
  <c r="Y76" i="9"/>
  <c r="AE252" i="9" s="1"/>
  <c r="Q76" i="9"/>
  <c r="AE244" i="9" s="1"/>
  <c r="Y75" i="9"/>
  <c r="AE240" i="9" s="1"/>
  <c r="U75" i="9"/>
  <c r="AE236" i="9" s="1"/>
  <c r="Q75" i="9"/>
  <c r="AE232" i="9" s="1"/>
  <c r="Y74" i="9"/>
  <c r="AE228" i="9" s="1"/>
  <c r="U74" i="9"/>
  <c r="AE224" i="9" s="1"/>
  <c r="Q74" i="9"/>
  <c r="AE220" i="9" s="1"/>
  <c r="Y73" i="9"/>
  <c r="AE216" i="9" s="1"/>
  <c r="U73" i="9"/>
  <c r="AE212" i="9" s="1"/>
  <c r="Q73" i="9"/>
  <c r="AE208" i="9" s="1"/>
  <c r="Y72" i="9"/>
  <c r="AE204" i="9" s="1"/>
  <c r="U72" i="9"/>
  <c r="AE200" i="9" s="1"/>
  <c r="Q72" i="9"/>
  <c r="AE196" i="9" s="1"/>
  <c r="Y71" i="9"/>
  <c r="AE192" i="9" s="1"/>
  <c r="U71" i="9"/>
  <c r="AE188" i="9" s="1"/>
  <c r="Q71" i="9"/>
  <c r="AE184" i="9" s="1"/>
  <c r="Y70" i="9"/>
  <c r="AE180" i="9" s="1"/>
  <c r="U70" i="9"/>
  <c r="AE176" i="9" s="1"/>
  <c r="Q70" i="9"/>
  <c r="AE172" i="9" s="1"/>
  <c r="Y69" i="9"/>
  <c r="AE168" i="9" s="1"/>
  <c r="U69" i="9"/>
  <c r="AE164" i="9" s="1"/>
  <c r="Q69" i="9"/>
  <c r="AE160" i="9" s="1"/>
  <c r="Y68" i="9"/>
  <c r="AE156" i="9" s="1"/>
  <c r="U68" i="9"/>
  <c r="AE152" i="9" s="1"/>
  <c r="Q68" i="9"/>
  <c r="AE148" i="9" s="1"/>
  <c r="Y67" i="9"/>
  <c r="AE144" i="9" s="1"/>
  <c r="U67" i="9"/>
  <c r="AE140" i="9" s="1"/>
  <c r="Q67" i="9"/>
  <c r="AE136" i="9" s="1"/>
  <c r="Y66" i="9"/>
  <c r="AE132" i="9" s="1"/>
  <c r="G66" i="9"/>
  <c r="AD128" i="9" s="1"/>
  <c r="C66" i="9"/>
  <c r="AD124" i="9" s="1"/>
  <c r="K65" i="9"/>
  <c r="AD120" i="9" s="1"/>
  <c r="C65" i="9"/>
  <c r="AD112" i="9" s="1"/>
  <c r="K64" i="9"/>
  <c r="AD108" i="9" s="1"/>
  <c r="G64" i="9"/>
  <c r="AD104" i="9" s="1"/>
  <c r="K63" i="9"/>
  <c r="AD96" i="9" s="1"/>
  <c r="G63" i="9"/>
  <c r="AD92" i="9" s="1"/>
  <c r="C63" i="9"/>
  <c r="AD88" i="9" s="1"/>
  <c r="K62" i="9"/>
  <c r="AD84" i="9" s="1"/>
  <c r="G62" i="9"/>
  <c r="AD80" i="9" s="1"/>
  <c r="C62" i="9"/>
  <c r="AD76" i="9" s="1"/>
  <c r="K61" i="9"/>
  <c r="AD72" i="9" s="1"/>
  <c r="G61" i="9"/>
  <c r="AD68" i="9" s="1"/>
  <c r="C61" i="9"/>
  <c r="AD64" i="9" s="1"/>
  <c r="K60" i="9"/>
  <c r="AD60" i="9" s="1"/>
  <c r="G60" i="9"/>
  <c r="AD56" i="9" s="1"/>
  <c r="K59" i="9"/>
  <c r="AD48" i="9" s="1"/>
  <c r="G59" i="9"/>
  <c r="AD44" i="9" s="1"/>
  <c r="C59" i="9"/>
  <c r="AD40" i="9" s="1"/>
  <c r="K58" i="9"/>
  <c r="AD36" i="9" s="1"/>
  <c r="C58" i="9"/>
  <c r="AD28" i="9" s="1"/>
  <c r="K57" i="9"/>
  <c r="AD24" i="9" s="1"/>
  <c r="G57" i="9"/>
  <c r="AD20" i="9" s="1"/>
  <c r="C57" i="9"/>
  <c r="AD16" i="9" s="1"/>
  <c r="T79" i="9"/>
  <c r="AE283" i="9" s="1"/>
  <c r="M56" i="9"/>
  <c r="AD14" i="9" s="1"/>
  <c r="V79" i="9"/>
  <c r="AE285" i="9" s="1"/>
  <c r="R78" i="9"/>
  <c r="AE269" i="9" s="1"/>
  <c r="Z76" i="9"/>
  <c r="AE253" i="9" s="1"/>
  <c r="V75" i="9"/>
  <c r="AE237" i="9" s="1"/>
  <c r="R74" i="9"/>
  <c r="AE221" i="9" s="1"/>
  <c r="Z72" i="9"/>
  <c r="AE205" i="9" s="1"/>
  <c r="V71" i="9"/>
  <c r="AE189" i="9" s="1"/>
  <c r="V70" i="9"/>
  <c r="AE177" i="9" s="1"/>
  <c r="R69" i="9"/>
  <c r="AE161" i="9" s="1"/>
  <c r="Z67" i="9"/>
  <c r="AE145" i="9" s="1"/>
  <c r="H66" i="9"/>
  <c r="AD129" i="9" s="1"/>
  <c r="D65" i="9"/>
  <c r="AD113" i="9" s="1"/>
  <c r="L63" i="9"/>
  <c r="AD97" i="9" s="1"/>
  <c r="H62" i="9"/>
  <c r="AD81" i="9" s="1"/>
  <c r="D61" i="9"/>
  <c r="AD65" i="9" s="1"/>
  <c r="L59" i="9"/>
  <c r="AD49" i="9" s="1"/>
  <c r="H57" i="9"/>
  <c r="AD21" i="9" s="1"/>
  <c r="R56" i="9"/>
  <c r="AE5" i="9" s="1"/>
  <c r="H56" i="9"/>
  <c r="AD9" i="9" s="1"/>
  <c r="Y79" i="9"/>
  <c r="AE288" i="9" s="1"/>
  <c r="Q79" i="9"/>
  <c r="AE280" i="9" s="1"/>
  <c r="U78" i="9"/>
  <c r="AE272" i="9" s="1"/>
  <c r="Y56" i="9"/>
  <c r="AE12" i="9" s="1"/>
  <c r="U56" i="9"/>
  <c r="AE8" i="9" s="1"/>
  <c r="K79" i="9"/>
  <c r="AD288" i="9" s="1"/>
  <c r="G79" i="9"/>
  <c r="AD284" i="9" s="1"/>
  <c r="C79" i="9"/>
  <c r="AD280" i="9" s="1"/>
  <c r="K78" i="9"/>
  <c r="AD276" i="9" s="1"/>
  <c r="G78" i="9"/>
  <c r="AD272" i="9" s="1"/>
  <c r="C78" i="9"/>
  <c r="AD268" i="9" s="1"/>
  <c r="G77" i="9"/>
  <c r="AD260" i="9" s="1"/>
  <c r="C77" i="9"/>
  <c r="AD256" i="9" s="1"/>
  <c r="K76" i="9"/>
  <c r="AD252" i="9" s="1"/>
  <c r="G76" i="9"/>
  <c r="AD248" i="9" s="1"/>
  <c r="K75" i="9"/>
  <c r="AD240" i="9" s="1"/>
  <c r="G75" i="9"/>
  <c r="AD236" i="9" s="1"/>
  <c r="C75" i="9"/>
  <c r="AD232" i="9" s="1"/>
  <c r="K74" i="9"/>
  <c r="AD228" i="9" s="1"/>
  <c r="G74" i="9"/>
  <c r="AD224" i="9" s="1"/>
  <c r="C74" i="9"/>
  <c r="AD220" i="9" s="1"/>
  <c r="K73" i="9"/>
  <c r="AD216" i="9" s="1"/>
  <c r="G73" i="9"/>
  <c r="AD212" i="9" s="1"/>
  <c r="C73" i="9"/>
  <c r="AD208" i="9" s="1"/>
  <c r="K72" i="9"/>
  <c r="AD204" i="9" s="1"/>
  <c r="G72" i="9"/>
  <c r="AD200" i="9" s="1"/>
  <c r="C72" i="9"/>
  <c r="AD196" i="9" s="1"/>
  <c r="K71" i="9"/>
  <c r="AD192" i="9" s="1"/>
  <c r="G71" i="9"/>
  <c r="AD188" i="9" s="1"/>
  <c r="C71" i="9"/>
  <c r="AD184" i="9" s="1"/>
  <c r="K70" i="9"/>
  <c r="AD180" i="9" s="1"/>
  <c r="G70" i="9"/>
  <c r="AD176" i="9" s="1"/>
  <c r="C70" i="9"/>
  <c r="AD172" i="9" s="1"/>
  <c r="K69" i="9"/>
  <c r="AD168" i="9" s="1"/>
  <c r="G69" i="9"/>
  <c r="AD164" i="9" s="1"/>
  <c r="C69" i="9"/>
  <c r="AD160" i="9" s="1"/>
  <c r="K68" i="9"/>
  <c r="AD156" i="9" s="1"/>
  <c r="G68" i="9"/>
  <c r="AD152" i="9" s="1"/>
  <c r="C68" i="9"/>
  <c r="AD148" i="9" s="1"/>
  <c r="G67" i="9"/>
  <c r="AD140" i="9" s="1"/>
  <c r="C67" i="9"/>
  <c r="AD136" i="9" s="1"/>
  <c r="K66" i="9"/>
  <c r="AD132" i="9" s="1"/>
  <c r="T66" i="9"/>
  <c r="AE127" i="9" s="1"/>
  <c r="P66" i="9"/>
  <c r="X65" i="9"/>
  <c r="AE119" i="9" s="1"/>
  <c r="T65" i="9"/>
  <c r="AE115" i="9" s="1"/>
  <c r="P65" i="9"/>
  <c r="T64" i="9"/>
  <c r="AE103" i="9" s="1"/>
  <c r="P64" i="9"/>
  <c r="X63" i="9"/>
  <c r="AE95" i="9" s="1"/>
  <c r="T63" i="9"/>
  <c r="AE91" i="9" s="1"/>
  <c r="P63" i="9"/>
  <c r="X62" i="9"/>
  <c r="AE83" i="9" s="1"/>
  <c r="T62" i="9"/>
  <c r="AE79" i="9" s="1"/>
  <c r="P62" i="9"/>
  <c r="X61" i="9"/>
  <c r="AE71" i="9" s="1"/>
  <c r="T61" i="9"/>
  <c r="AE67" i="9" s="1"/>
  <c r="P61" i="9"/>
  <c r="X60" i="9"/>
  <c r="AE59" i="9" s="1"/>
  <c r="T60" i="9"/>
  <c r="AE55" i="9" s="1"/>
  <c r="X59" i="9"/>
  <c r="AE47" i="9" s="1"/>
  <c r="T59" i="9"/>
  <c r="AE43" i="9" s="1"/>
  <c r="X58" i="9"/>
  <c r="AE35" i="9" s="1"/>
  <c r="T58" i="9"/>
  <c r="AE31" i="9" s="1"/>
  <c r="P58" i="9"/>
  <c r="X57" i="9"/>
  <c r="AE23" i="9" s="1"/>
  <c r="P57" i="9"/>
  <c r="T78" i="9"/>
  <c r="AE271" i="9" s="1"/>
  <c r="T76" i="9"/>
  <c r="AE247" i="9" s="1"/>
  <c r="P75" i="9"/>
  <c r="X73" i="9"/>
  <c r="AE215" i="9" s="1"/>
  <c r="T72" i="9"/>
  <c r="AE199" i="9" s="1"/>
  <c r="P71" i="9"/>
  <c r="T69" i="9"/>
  <c r="AE163" i="9" s="1"/>
  <c r="X66" i="9"/>
  <c r="AE131" i="9" s="1"/>
  <c r="F65" i="9"/>
  <c r="AD115" i="9" s="1"/>
  <c r="B64" i="9"/>
  <c r="B63" i="9"/>
  <c r="J61" i="9"/>
  <c r="AD71" i="9" s="1"/>
  <c r="J60" i="9"/>
  <c r="AD59" i="9" s="1"/>
  <c r="J59" i="9"/>
  <c r="AD47" i="9" s="1"/>
  <c r="D39" i="3"/>
  <c r="G39" i="3" s="1"/>
  <c r="B59" i="9"/>
  <c r="J58" i="9"/>
  <c r="AD35" i="9" s="1"/>
  <c r="J57" i="9"/>
  <c r="AD23" i="9" s="1"/>
  <c r="F57" i="9"/>
  <c r="AD19" i="9" s="1"/>
  <c r="B57" i="9"/>
  <c r="X79" i="9"/>
  <c r="AE287" i="9" s="1"/>
  <c r="P77" i="9"/>
  <c r="X75" i="9"/>
  <c r="AE239" i="9" s="1"/>
  <c r="T74" i="9"/>
  <c r="AE223" i="9" s="1"/>
  <c r="P73" i="9"/>
  <c r="P72" i="9"/>
  <c r="X70" i="9"/>
  <c r="AE179" i="9" s="1"/>
  <c r="X69" i="9"/>
  <c r="AE167" i="9" s="1"/>
  <c r="X68" i="9"/>
  <c r="AE155" i="9" s="1"/>
  <c r="B66" i="9"/>
  <c r="B65" i="9"/>
  <c r="J63" i="9"/>
  <c r="AD95" i="9" s="1"/>
  <c r="J62" i="9"/>
  <c r="AD83" i="9" s="1"/>
  <c r="F61" i="9"/>
  <c r="AD67" i="9" s="1"/>
  <c r="F58" i="9"/>
  <c r="AD31" i="9" s="1"/>
  <c r="X56" i="9"/>
  <c r="AE11" i="9" s="1"/>
  <c r="T56" i="9"/>
  <c r="AE7" i="9" s="1"/>
  <c r="P56" i="9"/>
  <c r="J79" i="9"/>
  <c r="AD287" i="9" s="1"/>
  <c r="F79" i="9"/>
  <c r="AD283" i="9" s="1"/>
  <c r="B79" i="9"/>
  <c r="J78" i="9"/>
  <c r="AD275" i="9" s="1"/>
  <c r="F78" i="9"/>
  <c r="AD271" i="9" s="1"/>
  <c r="B78" i="9"/>
  <c r="J77" i="9"/>
  <c r="AD263" i="9" s="1"/>
  <c r="F77" i="9"/>
  <c r="AD259" i="9" s="1"/>
  <c r="J76" i="9"/>
  <c r="AD251" i="9" s="1"/>
  <c r="F76" i="9"/>
  <c r="AD247" i="9" s="1"/>
  <c r="B76" i="9"/>
  <c r="J75" i="9"/>
  <c r="AD239" i="9" s="1"/>
  <c r="F75" i="9"/>
  <c r="AD235" i="9" s="1"/>
  <c r="B75" i="9"/>
  <c r="J74" i="9"/>
  <c r="AD227" i="9" s="1"/>
  <c r="F74" i="9"/>
  <c r="AD223" i="9" s="1"/>
  <c r="F73" i="9"/>
  <c r="AD211" i="9" s="1"/>
  <c r="B73" i="9"/>
  <c r="J72" i="9"/>
  <c r="AD203" i="9" s="1"/>
  <c r="F72" i="9"/>
  <c r="AD199" i="9" s="1"/>
  <c r="B72" i="9"/>
  <c r="J71" i="9"/>
  <c r="AD191" i="9" s="1"/>
  <c r="F71" i="9"/>
  <c r="AD187" i="9" s="1"/>
  <c r="B71" i="9"/>
  <c r="J70" i="9"/>
  <c r="AD179" i="9" s="1"/>
  <c r="F70" i="9"/>
  <c r="AD175" i="9" s="1"/>
  <c r="B70" i="9"/>
  <c r="J69" i="9"/>
  <c r="AD167" i="9" s="1"/>
  <c r="F69" i="9"/>
  <c r="AD163" i="9" s="1"/>
  <c r="B69" i="9"/>
  <c r="J68" i="9"/>
  <c r="AD155" i="9" s="1"/>
  <c r="F68" i="9"/>
  <c r="AD151" i="9" s="1"/>
  <c r="B68" i="9"/>
  <c r="J67" i="9"/>
  <c r="AD143" i="9" s="1"/>
  <c r="F67" i="9"/>
  <c r="AD139" i="9" s="1"/>
  <c r="B67" i="9"/>
  <c r="W66" i="9"/>
  <c r="AE130" i="9" s="1"/>
  <c r="AA65" i="9"/>
  <c r="AE122" i="9" s="1"/>
  <c r="W65" i="9"/>
  <c r="AE118" i="9" s="1"/>
  <c r="S65" i="9"/>
  <c r="AE114" i="9" s="1"/>
  <c r="AA64" i="9"/>
  <c r="AE110" i="9" s="1"/>
  <c r="W64" i="9"/>
  <c r="AE106" i="9" s="1"/>
  <c r="S64" i="9"/>
  <c r="AE102" i="9" s="1"/>
  <c r="AA63" i="9"/>
  <c r="AE98" i="9" s="1"/>
  <c r="W63" i="9"/>
  <c r="AE94" i="9" s="1"/>
  <c r="S63" i="9"/>
  <c r="AE90" i="9" s="1"/>
  <c r="W62" i="9"/>
  <c r="AE82" i="9" s="1"/>
  <c r="S62" i="9"/>
  <c r="AE78" i="9" s="1"/>
  <c r="AA61" i="9"/>
  <c r="AE74" i="9" s="1"/>
  <c r="W61" i="9"/>
  <c r="AE70" i="9" s="1"/>
  <c r="S61" i="9"/>
  <c r="AE66" i="9" s="1"/>
  <c r="AA60" i="9"/>
  <c r="AE62" i="9" s="1"/>
  <c r="W60" i="9"/>
  <c r="AE58" i="9" s="1"/>
  <c r="S60" i="9"/>
  <c r="AE54" i="9" s="1"/>
  <c r="W59" i="9"/>
  <c r="AE46" i="9" s="1"/>
  <c r="S59" i="9"/>
  <c r="AE42" i="9" s="1"/>
  <c r="AA58" i="9"/>
  <c r="AE38" i="9" s="1"/>
  <c r="W58" i="9"/>
  <c r="AE34" i="9" s="1"/>
  <c r="D34" i="3" s="1"/>
  <c r="G34" i="3" s="1"/>
  <c r="S58" i="9"/>
  <c r="AE30" i="9" s="1"/>
  <c r="AA57" i="9"/>
  <c r="AE26" i="9" s="1"/>
  <c r="S57" i="9"/>
  <c r="AE18" i="9" s="1"/>
  <c r="P51" i="6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AE38" i="8"/>
  <c r="AD38" i="8"/>
  <c r="AC38" i="8"/>
  <c r="AB38" i="8"/>
  <c r="AA38" i="8"/>
  <c r="Z38" i="8"/>
  <c r="Y38" i="8"/>
  <c r="X38" i="8"/>
  <c r="W38" i="8"/>
  <c r="V38" i="8"/>
  <c r="U38" i="8"/>
  <c r="T38" i="8"/>
  <c r="S38" i="8"/>
  <c r="R38" i="8"/>
  <c r="Q38" i="8"/>
  <c r="P38" i="8"/>
  <c r="O38" i="8"/>
  <c r="N38" i="8"/>
  <c r="M38" i="8"/>
  <c r="L38" i="8"/>
  <c r="K38" i="8"/>
  <c r="J38" i="8"/>
  <c r="I38" i="8"/>
  <c r="H38" i="8"/>
  <c r="AE37" i="8"/>
  <c r="AD37" i="8"/>
  <c r="AC37" i="8"/>
  <c r="AB37" i="8"/>
  <c r="AA37" i="8"/>
  <c r="Z37" i="8"/>
  <c r="Y37" i="8"/>
  <c r="X37" i="8"/>
  <c r="W37" i="8"/>
  <c r="V37" i="8"/>
  <c r="U37" i="8"/>
  <c r="T37" i="8"/>
  <c r="S37" i="8"/>
  <c r="R37" i="8"/>
  <c r="Q37" i="8"/>
  <c r="P37" i="8"/>
  <c r="O37" i="8"/>
  <c r="N37" i="8"/>
  <c r="M37" i="8"/>
  <c r="L37" i="8"/>
  <c r="K37" i="8"/>
  <c r="J37" i="8"/>
  <c r="I37" i="8"/>
  <c r="H37" i="8"/>
  <c r="AE40" i="8"/>
  <c r="AD40" i="8"/>
  <c r="AC40" i="8"/>
  <c r="AB40" i="8"/>
  <c r="AA40" i="8"/>
  <c r="Z40" i="8"/>
  <c r="Y40" i="8"/>
  <c r="X40" i="8"/>
  <c r="W40" i="8"/>
  <c r="V40" i="8"/>
  <c r="U40" i="8"/>
  <c r="T40" i="8"/>
  <c r="S40" i="8"/>
  <c r="R40" i="8"/>
  <c r="Q40" i="8"/>
  <c r="P40" i="8"/>
  <c r="O40" i="8"/>
  <c r="N40" i="8"/>
  <c r="M40" i="8"/>
  <c r="L40" i="8"/>
  <c r="K40" i="8"/>
  <c r="J40" i="8"/>
  <c r="I40" i="8"/>
  <c r="H40" i="8"/>
  <c r="J3" i="8"/>
  <c r="I3" i="8"/>
  <c r="H3" i="8"/>
  <c r="AE26" i="8"/>
  <c r="AD26" i="8"/>
  <c r="AC26" i="8"/>
  <c r="AB26" i="8"/>
  <c r="AA26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D291" i="1"/>
  <c r="B4" i="8" s="1"/>
  <c r="E291" i="1"/>
  <c r="B5" i="8" s="1"/>
  <c r="F291" i="1"/>
  <c r="B12" i="8" s="1"/>
  <c r="N34" i="1"/>
  <c r="O34" i="1" s="1"/>
  <c r="N33" i="1"/>
  <c r="O33" i="1" s="1"/>
  <c r="N32" i="1"/>
  <c r="O32" i="1" s="1"/>
  <c r="N31" i="1"/>
  <c r="O31" i="1" s="1"/>
  <c r="N30" i="1"/>
  <c r="O30" i="1" s="1"/>
  <c r="N29" i="1"/>
  <c r="O29" i="1" s="1"/>
  <c r="N28" i="1"/>
  <c r="O28" i="1" s="1"/>
  <c r="N27" i="1"/>
  <c r="O27" i="1" s="1"/>
  <c r="N26" i="1"/>
  <c r="O26" i="1" s="1"/>
  <c r="N25" i="1"/>
  <c r="O25" i="1" s="1"/>
  <c r="N24" i="1"/>
  <c r="O24" i="1" s="1"/>
  <c r="N23" i="1"/>
  <c r="O23" i="1" s="1"/>
  <c r="N22" i="1"/>
  <c r="O22" i="1" s="1"/>
  <c r="N21" i="1"/>
  <c r="O21" i="1" s="1"/>
  <c r="N20" i="1"/>
  <c r="O20" i="1" s="1"/>
  <c r="N19" i="1"/>
  <c r="O19" i="1" s="1"/>
  <c r="N18" i="1"/>
  <c r="O18" i="1" s="1"/>
  <c r="N17" i="1"/>
  <c r="O17" i="1" s="1"/>
  <c r="N16" i="1"/>
  <c r="O16" i="1" s="1"/>
  <c r="N15" i="1"/>
  <c r="O15" i="1" s="1"/>
  <c r="N14" i="1"/>
  <c r="O14" i="1" s="1"/>
  <c r="N13" i="1"/>
  <c r="O13" i="1" s="1"/>
  <c r="N12" i="1"/>
  <c r="O12" i="1" s="1"/>
  <c r="N11" i="1"/>
  <c r="O11" i="1" s="1"/>
  <c r="AE65" i="8"/>
  <c r="AD65" i="8"/>
  <c r="AC65" i="8"/>
  <c r="AB65" i="8"/>
  <c r="AA65" i="8"/>
  <c r="Z65" i="8"/>
  <c r="Y65" i="8"/>
  <c r="X65" i="8"/>
  <c r="W65" i="8"/>
  <c r="V65" i="8"/>
  <c r="U65" i="8"/>
  <c r="T65" i="8"/>
  <c r="S65" i="8"/>
  <c r="R65" i="8"/>
  <c r="Q65" i="8"/>
  <c r="P65" i="8"/>
  <c r="O65" i="8"/>
  <c r="N65" i="8"/>
  <c r="M65" i="8"/>
  <c r="L65" i="8"/>
  <c r="K65" i="8"/>
  <c r="J65" i="8"/>
  <c r="I65" i="8"/>
  <c r="H65" i="8"/>
  <c r="AE64" i="8"/>
  <c r="AE79" i="8" s="1"/>
  <c r="AD64" i="8"/>
  <c r="AD79" i="8" s="1"/>
  <c r="AC64" i="8"/>
  <c r="AC79" i="8" s="1"/>
  <c r="AB64" i="8"/>
  <c r="AB79" i="8" s="1"/>
  <c r="AA64" i="8"/>
  <c r="AA79" i="8" s="1"/>
  <c r="Z64" i="8"/>
  <c r="Z79" i="8" s="1"/>
  <c r="Y64" i="8"/>
  <c r="Y79" i="8" s="1"/>
  <c r="X64" i="8"/>
  <c r="X79" i="8" s="1"/>
  <c r="W64" i="8"/>
  <c r="W79" i="8" s="1"/>
  <c r="V64" i="8"/>
  <c r="V79" i="8" s="1"/>
  <c r="U64" i="8"/>
  <c r="U79" i="8" s="1"/>
  <c r="T64" i="8"/>
  <c r="T79" i="8" s="1"/>
  <c r="S64" i="8"/>
  <c r="S79" i="8" s="1"/>
  <c r="R64" i="8"/>
  <c r="R79" i="8" s="1"/>
  <c r="Q64" i="8"/>
  <c r="Q79" i="8" s="1"/>
  <c r="P64" i="8"/>
  <c r="P79" i="8" s="1"/>
  <c r="O64" i="8"/>
  <c r="O79" i="8" s="1"/>
  <c r="N64" i="8"/>
  <c r="N79" i="8" s="1"/>
  <c r="M64" i="8"/>
  <c r="M79" i="8" s="1"/>
  <c r="L64" i="8"/>
  <c r="L79" i="8" s="1"/>
  <c r="K64" i="8"/>
  <c r="K79" i="8" s="1"/>
  <c r="J64" i="8"/>
  <c r="J79" i="8" s="1"/>
  <c r="I64" i="8"/>
  <c r="I79" i="8" s="1"/>
  <c r="H64" i="8"/>
  <c r="H79" i="8" s="1"/>
  <c r="AE63" i="8"/>
  <c r="AD63" i="8"/>
  <c r="AC63" i="8"/>
  <c r="AB63" i="8"/>
  <c r="AA63" i="8"/>
  <c r="Z63" i="8"/>
  <c r="Y63" i="8"/>
  <c r="X63" i="8"/>
  <c r="W63" i="8"/>
  <c r="V63" i="8"/>
  <c r="U63" i="8"/>
  <c r="T63" i="8"/>
  <c r="S63" i="8"/>
  <c r="R63" i="8"/>
  <c r="Q63" i="8"/>
  <c r="P63" i="8"/>
  <c r="O63" i="8"/>
  <c r="N63" i="8"/>
  <c r="M63" i="8"/>
  <c r="L63" i="8"/>
  <c r="K63" i="8"/>
  <c r="J63" i="8"/>
  <c r="I63" i="8"/>
  <c r="H63" i="8"/>
  <c r="AE25" i="8"/>
  <c r="AD25" i="8"/>
  <c r="AC25" i="8"/>
  <c r="AB25" i="8"/>
  <c r="AA25" i="8"/>
  <c r="Z25" i="8"/>
  <c r="Y25" i="8"/>
  <c r="X25" i="8"/>
  <c r="W25" i="8"/>
  <c r="V25" i="8"/>
  <c r="U25" i="8"/>
  <c r="T25" i="8"/>
  <c r="S25" i="8"/>
  <c r="R25" i="8"/>
  <c r="Q25" i="8"/>
  <c r="P25" i="8"/>
  <c r="O25" i="8"/>
  <c r="N25" i="8"/>
  <c r="M25" i="8"/>
  <c r="L25" i="8"/>
  <c r="K25" i="8"/>
  <c r="J25" i="8"/>
  <c r="I25" i="8"/>
  <c r="H25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AE23" i="8"/>
  <c r="AD23" i="8"/>
  <c r="AC23" i="8"/>
  <c r="AB23" i="8"/>
  <c r="AA23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AE11" i="8"/>
  <c r="AD11" i="8"/>
  <c r="AC11" i="8"/>
  <c r="AB11" i="8"/>
  <c r="AA11" i="8"/>
  <c r="Z11" i="8"/>
  <c r="Y11" i="8"/>
  <c r="X11" i="8"/>
  <c r="W11" i="8"/>
  <c r="V11" i="8"/>
  <c r="U11" i="8"/>
  <c r="T11" i="8"/>
  <c r="S11" i="8"/>
  <c r="R11" i="8"/>
  <c r="Q11" i="8"/>
  <c r="P11" i="8"/>
  <c r="O11" i="8"/>
  <c r="N11" i="8"/>
  <c r="M11" i="8"/>
  <c r="L11" i="8"/>
  <c r="K11" i="8"/>
  <c r="J11" i="8"/>
  <c r="I11" i="8"/>
  <c r="H11" i="8"/>
  <c r="AE10" i="8"/>
  <c r="AD10" i="8"/>
  <c r="AC10" i="8"/>
  <c r="AB10" i="8"/>
  <c r="AA10" i="8"/>
  <c r="Z10" i="8"/>
  <c r="Y10" i="8"/>
  <c r="X10" i="8"/>
  <c r="W10" i="8"/>
  <c r="V10" i="8"/>
  <c r="U10" i="8"/>
  <c r="T10" i="8"/>
  <c r="S10" i="8"/>
  <c r="R10" i="8"/>
  <c r="Q10" i="8"/>
  <c r="P10" i="8"/>
  <c r="O10" i="8"/>
  <c r="N10" i="8"/>
  <c r="M10" i="8"/>
  <c r="L10" i="8"/>
  <c r="K10" i="8"/>
  <c r="J10" i="8"/>
  <c r="I10" i="8"/>
  <c r="H10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AE4" i="8"/>
  <c r="AD4" i="8"/>
  <c r="AC4" i="8"/>
  <c r="AB4" i="8"/>
  <c r="AA4" i="8"/>
  <c r="Z4" i="8"/>
  <c r="Y4" i="8"/>
  <c r="X4" i="8"/>
  <c r="W4" i="8"/>
  <c r="V4" i="8"/>
  <c r="U4" i="8"/>
  <c r="T4" i="8"/>
  <c r="S4" i="8"/>
  <c r="R4" i="8"/>
  <c r="Q4" i="8"/>
  <c r="P4" i="8"/>
  <c r="O4" i="8"/>
  <c r="N4" i="8"/>
  <c r="M4" i="8"/>
  <c r="L4" i="8"/>
  <c r="K4" i="8"/>
  <c r="J4" i="8"/>
  <c r="I4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C3" i="4"/>
  <c r="F4" i="4" s="1"/>
  <c r="C4" i="4"/>
  <c r="F5" i="4" s="1"/>
  <c r="C5" i="4"/>
  <c r="F6" i="4" s="1"/>
  <c r="C6" i="4"/>
  <c r="F7" i="4" s="1"/>
  <c r="C7" i="4"/>
  <c r="F8" i="4" s="1"/>
  <c r="C8" i="4"/>
  <c r="F9" i="4" s="1"/>
  <c r="C9" i="4"/>
  <c r="F10" i="4" s="1"/>
  <c r="C10" i="4"/>
  <c r="F11" i="4" s="1"/>
  <c r="C11" i="4"/>
  <c r="F12" i="4" s="1"/>
  <c r="C12" i="4"/>
  <c r="F13" i="4" s="1"/>
  <c r="C13" i="4"/>
  <c r="F14" i="4" s="1"/>
  <c r="C14" i="4"/>
  <c r="F15" i="4" s="1"/>
  <c r="C15" i="4"/>
  <c r="F16" i="4" s="1"/>
  <c r="C16" i="4"/>
  <c r="F17" i="4" s="1"/>
  <c r="C17" i="4"/>
  <c r="F18" i="4" s="1"/>
  <c r="C18" i="4"/>
  <c r="F19" i="4" s="1"/>
  <c r="C19" i="4"/>
  <c r="F20" i="4" s="1"/>
  <c r="C20" i="4"/>
  <c r="F21" i="4" s="1"/>
  <c r="C21" i="4"/>
  <c r="F22" i="4" s="1"/>
  <c r="C22" i="4"/>
  <c r="F23" i="4" s="1"/>
  <c r="C23" i="4"/>
  <c r="F24" i="4" s="1"/>
  <c r="C24" i="4"/>
  <c r="F25" i="4" s="1"/>
  <c r="C25" i="4"/>
  <c r="F26" i="4" s="1"/>
  <c r="C26" i="4"/>
  <c r="F27" i="4" s="1"/>
  <c r="C27" i="4"/>
  <c r="F28" i="4" s="1"/>
  <c r="C28" i="4"/>
  <c r="F29" i="4" s="1"/>
  <c r="C29" i="4"/>
  <c r="F30" i="4" s="1"/>
  <c r="C30" i="4"/>
  <c r="F31" i="4" s="1"/>
  <c r="C31" i="4"/>
  <c r="F32" i="4" s="1"/>
  <c r="C32" i="4"/>
  <c r="F33" i="4" s="1"/>
  <c r="C33" i="4"/>
  <c r="F34" i="4" s="1"/>
  <c r="C34" i="4"/>
  <c r="F35" i="4" s="1"/>
  <c r="C35" i="4"/>
  <c r="F36" i="4" s="1"/>
  <c r="C36" i="4"/>
  <c r="F37" i="4" s="1"/>
  <c r="C37" i="4"/>
  <c r="F38" i="4" s="1"/>
  <c r="C38" i="4"/>
  <c r="F39" i="4" s="1"/>
  <c r="C39" i="4"/>
  <c r="F40" i="4" s="1"/>
  <c r="C40" i="4"/>
  <c r="F41" i="4" s="1"/>
  <c r="G41" i="4" s="1"/>
  <c r="C41" i="4"/>
  <c r="F42" i="4" s="1"/>
  <c r="C42" i="4"/>
  <c r="F43" i="4" s="1"/>
  <c r="C43" i="4"/>
  <c r="F44" i="4" s="1"/>
  <c r="C44" i="4"/>
  <c r="F45" i="4" s="1"/>
  <c r="C45" i="4"/>
  <c r="F46" i="4" s="1"/>
  <c r="C46" i="4"/>
  <c r="F47" i="4" s="1"/>
  <c r="C47" i="4"/>
  <c r="F48" i="4" s="1"/>
  <c r="C48" i="4"/>
  <c r="F49" i="4" s="1"/>
  <c r="C49" i="4"/>
  <c r="F50" i="4" s="1"/>
  <c r="C50" i="4"/>
  <c r="F51" i="4" s="1"/>
  <c r="C51" i="4"/>
  <c r="F52" i="4" s="1"/>
  <c r="C52" i="4"/>
  <c r="F53" i="4" s="1"/>
  <c r="C53" i="4"/>
  <c r="F54" i="4" s="1"/>
  <c r="C54" i="4"/>
  <c r="F55" i="4" s="1"/>
  <c r="C55" i="4"/>
  <c r="F56" i="4" s="1"/>
  <c r="C56" i="4"/>
  <c r="F57" i="4" s="1"/>
  <c r="C57" i="4"/>
  <c r="F58" i="4" s="1"/>
  <c r="C58" i="4"/>
  <c r="F59" i="4" s="1"/>
  <c r="C59" i="4"/>
  <c r="F60" i="4" s="1"/>
  <c r="C60" i="4"/>
  <c r="F61" i="4" s="1"/>
  <c r="C61" i="4"/>
  <c r="F62" i="4" s="1"/>
  <c r="C62" i="4"/>
  <c r="F63" i="4" s="1"/>
  <c r="C63" i="4"/>
  <c r="F64" i="4" s="1"/>
  <c r="C64" i="4"/>
  <c r="F65" i="4" s="1"/>
  <c r="C65" i="4"/>
  <c r="F66" i="4" s="1"/>
  <c r="C66" i="4"/>
  <c r="F67" i="4" s="1"/>
  <c r="C67" i="4"/>
  <c r="F68" i="4" s="1"/>
  <c r="C68" i="4"/>
  <c r="F69" i="4" s="1"/>
  <c r="C69" i="4"/>
  <c r="F70" i="4" s="1"/>
  <c r="C70" i="4"/>
  <c r="F71" i="4" s="1"/>
  <c r="C71" i="4"/>
  <c r="F72" i="4" s="1"/>
  <c r="C72" i="4"/>
  <c r="F73" i="4" s="1"/>
  <c r="C73" i="4"/>
  <c r="F74" i="4" s="1"/>
  <c r="C74" i="4"/>
  <c r="F75" i="4" s="1"/>
  <c r="C75" i="4"/>
  <c r="F76" i="4" s="1"/>
  <c r="C76" i="4"/>
  <c r="F77" i="4" s="1"/>
  <c r="C77" i="4"/>
  <c r="F78" i="4" s="1"/>
  <c r="C78" i="4"/>
  <c r="F79" i="4" s="1"/>
  <c r="C79" i="4"/>
  <c r="F80" i="4" s="1"/>
  <c r="C80" i="4"/>
  <c r="F81" i="4" s="1"/>
  <c r="C81" i="4"/>
  <c r="F82" i="4" s="1"/>
  <c r="C82" i="4"/>
  <c r="F83" i="4" s="1"/>
  <c r="C83" i="4"/>
  <c r="F84" i="4" s="1"/>
  <c r="C84" i="4"/>
  <c r="F85" i="4" s="1"/>
  <c r="C85" i="4"/>
  <c r="F86" i="4" s="1"/>
  <c r="C86" i="4"/>
  <c r="F87" i="4" s="1"/>
  <c r="C87" i="4"/>
  <c r="F88" i="4" s="1"/>
  <c r="C88" i="4"/>
  <c r="F89" i="4" s="1"/>
  <c r="G89" i="4" s="1"/>
  <c r="C89" i="4"/>
  <c r="F90" i="4" s="1"/>
  <c r="C90" i="4"/>
  <c r="F91" i="4" s="1"/>
  <c r="C91" i="4"/>
  <c r="F92" i="4" s="1"/>
  <c r="C92" i="4"/>
  <c r="F93" i="4" s="1"/>
  <c r="C93" i="4"/>
  <c r="F94" i="4" s="1"/>
  <c r="C94" i="4"/>
  <c r="F95" i="4" s="1"/>
  <c r="C95" i="4"/>
  <c r="F96" i="4" s="1"/>
  <c r="C96" i="4"/>
  <c r="F97" i="4" s="1"/>
  <c r="C97" i="4"/>
  <c r="F98" i="4" s="1"/>
  <c r="C98" i="4"/>
  <c r="F99" i="4" s="1"/>
  <c r="C99" i="4"/>
  <c r="F100" i="4" s="1"/>
  <c r="C100" i="4"/>
  <c r="F101" i="4" s="1"/>
  <c r="C101" i="4"/>
  <c r="F102" i="4" s="1"/>
  <c r="C102" i="4"/>
  <c r="F103" i="4" s="1"/>
  <c r="C103" i="4"/>
  <c r="F104" i="4" s="1"/>
  <c r="C104" i="4"/>
  <c r="F105" i="4" s="1"/>
  <c r="C105" i="4"/>
  <c r="F106" i="4" s="1"/>
  <c r="C106" i="4"/>
  <c r="F107" i="4" s="1"/>
  <c r="C107" i="4"/>
  <c r="F108" i="4" s="1"/>
  <c r="C108" i="4"/>
  <c r="F109" i="4" s="1"/>
  <c r="C109" i="4"/>
  <c r="F110" i="4" s="1"/>
  <c r="C110" i="4"/>
  <c r="F111" i="4" s="1"/>
  <c r="C111" i="4"/>
  <c r="F112" i="4" s="1"/>
  <c r="C112" i="4"/>
  <c r="F113" i="4" s="1"/>
  <c r="C113" i="4"/>
  <c r="F114" i="4" s="1"/>
  <c r="C114" i="4"/>
  <c r="F115" i="4" s="1"/>
  <c r="C115" i="4"/>
  <c r="F116" i="4" s="1"/>
  <c r="C116" i="4"/>
  <c r="F117" i="4" s="1"/>
  <c r="C117" i="4"/>
  <c r="F118" i="4" s="1"/>
  <c r="C118" i="4"/>
  <c r="F119" i="4" s="1"/>
  <c r="C119" i="4"/>
  <c r="F120" i="4" s="1"/>
  <c r="C120" i="4"/>
  <c r="F121" i="4" s="1"/>
  <c r="C121" i="4"/>
  <c r="F122" i="4" s="1"/>
  <c r="C122" i="4"/>
  <c r="F123" i="4" s="1"/>
  <c r="C123" i="4"/>
  <c r="F124" i="4" s="1"/>
  <c r="C124" i="4"/>
  <c r="F125" i="4" s="1"/>
  <c r="C125" i="4"/>
  <c r="F126" i="4" s="1"/>
  <c r="C126" i="4"/>
  <c r="F127" i="4" s="1"/>
  <c r="C127" i="4"/>
  <c r="F128" i="4" s="1"/>
  <c r="C128" i="4"/>
  <c r="F129" i="4" s="1"/>
  <c r="C129" i="4"/>
  <c r="F130" i="4" s="1"/>
  <c r="C130" i="4"/>
  <c r="F131" i="4" s="1"/>
  <c r="C131" i="4"/>
  <c r="F132" i="4" s="1"/>
  <c r="C132" i="4"/>
  <c r="F133" i="4" s="1"/>
  <c r="C133" i="4"/>
  <c r="F134" i="4" s="1"/>
  <c r="C134" i="4"/>
  <c r="F135" i="4" s="1"/>
  <c r="C135" i="4"/>
  <c r="F136" i="4" s="1"/>
  <c r="C136" i="4"/>
  <c r="F137" i="4" s="1"/>
  <c r="G137" i="4" s="1"/>
  <c r="C137" i="4"/>
  <c r="F138" i="4" s="1"/>
  <c r="C138" i="4"/>
  <c r="F139" i="4" s="1"/>
  <c r="C139" i="4"/>
  <c r="F140" i="4" s="1"/>
  <c r="C140" i="4"/>
  <c r="F141" i="4" s="1"/>
  <c r="C141" i="4"/>
  <c r="F142" i="4" s="1"/>
  <c r="C142" i="4"/>
  <c r="F143" i="4" s="1"/>
  <c r="C143" i="4"/>
  <c r="F144" i="4" s="1"/>
  <c r="C144" i="4"/>
  <c r="F145" i="4" s="1"/>
  <c r="C145" i="4"/>
  <c r="F146" i="4" s="1"/>
  <c r="C146" i="4"/>
  <c r="F147" i="4" s="1"/>
  <c r="C147" i="4"/>
  <c r="F148" i="4" s="1"/>
  <c r="C148" i="4"/>
  <c r="F149" i="4" s="1"/>
  <c r="C149" i="4"/>
  <c r="F150" i="4" s="1"/>
  <c r="C150" i="4"/>
  <c r="F151" i="4" s="1"/>
  <c r="C151" i="4"/>
  <c r="F152" i="4" s="1"/>
  <c r="C152" i="4"/>
  <c r="F153" i="4" s="1"/>
  <c r="C153" i="4"/>
  <c r="F154" i="4" s="1"/>
  <c r="C154" i="4"/>
  <c r="F155" i="4" s="1"/>
  <c r="C155" i="4"/>
  <c r="F156" i="4" s="1"/>
  <c r="C156" i="4"/>
  <c r="F157" i="4" s="1"/>
  <c r="C157" i="4"/>
  <c r="F158" i="4" s="1"/>
  <c r="C158" i="4"/>
  <c r="F159" i="4" s="1"/>
  <c r="C159" i="4"/>
  <c r="F160" i="4" s="1"/>
  <c r="C160" i="4"/>
  <c r="F161" i="4" s="1"/>
  <c r="C161" i="4"/>
  <c r="F162" i="4" s="1"/>
  <c r="C162" i="4"/>
  <c r="F163" i="4" s="1"/>
  <c r="C163" i="4"/>
  <c r="F164" i="4" s="1"/>
  <c r="C164" i="4"/>
  <c r="F165" i="4" s="1"/>
  <c r="C165" i="4"/>
  <c r="F166" i="4" s="1"/>
  <c r="C166" i="4"/>
  <c r="F167" i="4" s="1"/>
  <c r="C167" i="4"/>
  <c r="F168" i="4" s="1"/>
  <c r="C168" i="4"/>
  <c r="F169" i="4" s="1"/>
  <c r="C169" i="4"/>
  <c r="F170" i="4" s="1"/>
  <c r="C170" i="4"/>
  <c r="F171" i="4" s="1"/>
  <c r="C171" i="4"/>
  <c r="F172" i="4" s="1"/>
  <c r="C172" i="4"/>
  <c r="F173" i="4" s="1"/>
  <c r="C173" i="4"/>
  <c r="F174" i="4" s="1"/>
  <c r="C174" i="4"/>
  <c r="F175" i="4" s="1"/>
  <c r="C175" i="4"/>
  <c r="F176" i="4" s="1"/>
  <c r="C176" i="4"/>
  <c r="F177" i="4" s="1"/>
  <c r="C177" i="4"/>
  <c r="F178" i="4" s="1"/>
  <c r="C178" i="4"/>
  <c r="F179" i="4" s="1"/>
  <c r="C179" i="4"/>
  <c r="F180" i="4" s="1"/>
  <c r="C180" i="4"/>
  <c r="F181" i="4" s="1"/>
  <c r="C181" i="4"/>
  <c r="F182" i="4" s="1"/>
  <c r="C182" i="4"/>
  <c r="F183" i="4" s="1"/>
  <c r="C183" i="4"/>
  <c r="F184" i="4" s="1"/>
  <c r="C184" i="4"/>
  <c r="F185" i="4" s="1"/>
  <c r="C185" i="4"/>
  <c r="F186" i="4" s="1"/>
  <c r="C186" i="4"/>
  <c r="F187" i="4" s="1"/>
  <c r="C187" i="4"/>
  <c r="F188" i="4" s="1"/>
  <c r="C188" i="4"/>
  <c r="F189" i="4" s="1"/>
  <c r="C189" i="4"/>
  <c r="F190" i="4" s="1"/>
  <c r="C190" i="4"/>
  <c r="F191" i="4" s="1"/>
  <c r="C191" i="4"/>
  <c r="F192" i="4" s="1"/>
  <c r="C192" i="4"/>
  <c r="F193" i="4" s="1"/>
  <c r="C193" i="4"/>
  <c r="F194" i="4" s="1"/>
  <c r="C194" i="4"/>
  <c r="F195" i="4" s="1"/>
  <c r="C195" i="4"/>
  <c r="F196" i="4" s="1"/>
  <c r="C196" i="4"/>
  <c r="F197" i="4" s="1"/>
  <c r="C197" i="4"/>
  <c r="F198" i="4" s="1"/>
  <c r="C198" i="4"/>
  <c r="F199" i="4" s="1"/>
  <c r="C199" i="4"/>
  <c r="F200" i="4" s="1"/>
  <c r="C200" i="4"/>
  <c r="F201" i="4" s="1"/>
  <c r="C201" i="4"/>
  <c r="F202" i="4" s="1"/>
  <c r="C202" i="4"/>
  <c r="F203" i="4" s="1"/>
  <c r="C203" i="4"/>
  <c r="F204" i="4" s="1"/>
  <c r="C204" i="4"/>
  <c r="F205" i="4" s="1"/>
  <c r="C205" i="4"/>
  <c r="F206" i="4" s="1"/>
  <c r="C206" i="4"/>
  <c r="F207" i="4" s="1"/>
  <c r="C207" i="4"/>
  <c r="F208" i="4" s="1"/>
  <c r="C208" i="4"/>
  <c r="F209" i="4" s="1"/>
  <c r="C209" i="4"/>
  <c r="F210" i="4" s="1"/>
  <c r="C210" i="4"/>
  <c r="F211" i="4" s="1"/>
  <c r="C211" i="4"/>
  <c r="F212" i="4" s="1"/>
  <c r="C212" i="4"/>
  <c r="F213" i="4" s="1"/>
  <c r="C213" i="4"/>
  <c r="F214" i="4" s="1"/>
  <c r="C214" i="4"/>
  <c r="F215" i="4" s="1"/>
  <c r="C215" i="4"/>
  <c r="F216" i="4" s="1"/>
  <c r="C216" i="4"/>
  <c r="F217" i="4" s="1"/>
  <c r="C217" i="4"/>
  <c r="F218" i="4" s="1"/>
  <c r="C218" i="4"/>
  <c r="F219" i="4" s="1"/>
  <c r="C219" i="4"/>
  <c r="F220" i="4" s="1"/>
  <c r="C220" i="4"/>
  <c r="F221" i="4" s="1"/>
  <c r="C221" i="4"/>
  <c r="F222" i="4" s="1"/>
  <c r="C222" i="4"/>
  <c r="F223" i="4" s="1"/>
  <c r="C223" i="4"/>
  <c r="F224" i="4" s="1"/>
  <c r="C224" i="4"/>
  <c r="F225" i="4" s="1"/>
  <c r="C225" i="4"/>
  <c r="F226" i="4" s="1"/>
  <c r="C226" i="4"/>
  <c r="F227" i="4" s="1"/>
  <c r="C227" i="4"/>
  <c r="F228" i="4" s="1"/>
  <c r="C228" i="4"/>
  <c r="F229" i="4" s="1"/>
  <c r="C229" i="4"/>
  <c r="F230" i="4" s="1"/>
  <c r="C230" i="4"/>
  <c r="F231" i="4" s="1"/>
  <c r="C231" i="4"/>
  <c r="F232" i="4" s="1"/>
  <c r="C232" i="4"/>
  <c r="F233" i="4" s="1"/>
  <c r="C233" i="4"/>
  <c r="F234" i="4" s="1"/>
  <c r="C234" i="4"/>
  <c r="F235" i="4" s="1"/>
  <c r="C235" i="4"/>
  <c r="F236" i="4" s="1"/>
  <c r="C236" i="4"/>
  <c r="F237" i="4" s="1"/>
  <c r="C237" i="4"/>
  <c r="F238" i="4" s="1"/>
  <c r="C238" i="4"/>
  <c r="F239" i="4" s="1"/>
  <c r="C239" i="4"/>
  <c r="F240" i="4" s="1"/>
  <c r="C240" i="4"/>
  <c r="F241" i="4" s="1"/>
  <c r="C241" i="4"/>
  <c r="F242" i="4" s="1"/>
  <c r="C242" i="4"/>
  <c r="F243" i="4" s="1"/>
  <c r="C243" i="4"/>
  <c r="F244" i="4" s="1"/>
  <c r="C244" i="4"/>
  <c r="F245" i="4" s="1"/>
  <c r="C245" i="4"/>
  <c r="F246" i="4" s="1"/>
  <c r="C246" i="4"/>
  <c r="F247" i="4" s="1"/>
  <c r="C247" i="4"/>
  <c r="F248" i="4" s="1"/>
  <c r="C248" i="4"/>
  <c r="F249" i="4" s="1"/>
  <c r="C249" i="4"/>
  <c r="F250" i="4" s="1"/>
  <c r="C250" i="4"/>
  <c r="F251" i="4" s="1"/>
  <c r="C251" i="4"/>
  <c r="F252" i="4" s="1"/>
  <c r="C252" i="4"/>
  <c r="F253" i="4" s="1"/>
  <c r="C253" i="4"/>
  <c r="F254" i="4" s="1"/>
  <c r="C254" i="4"/>
  <c r="F255" i="4" s="1"/>
  <c r="C255" i="4"/>
  <c r="F256" i="4" s="1"/>
  <c r="C256" i="4"/>
  <c r="F257" i="4" s="1"/>
  <c r="C257" i="4"/>
  <c r="F258" i="4" s="1"/>
  <c r="C258" i="4"/>
  <c r="F259" i="4" s="1"/>
  <c r="C259" i="4"/>
  <c r="F260" i="4" s="1"/>
  <c r="C260" i="4"/>
  <c r="F261" i="4" s="1"/>
  <c r="C261" i="4"/>
  <c r="F262" i="4" s="1"/>
  <c r="C262" i="4"/>
  <c r="F263" i="4" s="1"/>
  <c r="C263" i="4"/>
  <c r="F264" i="4" s="1"/>
  <c r="C264" i="4"/>
  <c r="F265" i="4" s="1"/>
  <c r="C265" i="4"/>
  <c r="F266" i="4" s="1"/>
  <c r="C266" i="4"/>
  <c r="F267" i="4" s="1"/>
  <c r="C267" i="4"/>
  <c r="F268" i="4" s="1"/>
  <c r="C268" i="4"/>
  <c r="F269" i="4" s="1"/>
  <c r="C269" i="4"/>
  <c r="F270" i="4" s="1"/>
  <c r="C270" i="4"/>
  <c r="F271" i="4" s="1"/>
  <c r="C271" i="4"/>
  <c r="F272" i="4" s="1"/>
  <c r="C272" i="4"/>
  <c r="F273" i="4" s="1"/>
  <c r="C273" i="4"/>
  <c r="F274" i="4" s="1"/>
  <c r="C274" i="4"/>
  <c r="F275" i="4" s="1"/>
  <c r="C275" i="4"/>
  <c r="F276" i="4" s="1"/>
  <c r="C276" i="4"/>
  <c r="F277" i="4" s="1"/>
  <c r="C277" i="4"/>
  <c r="F278" i="4" s="1"/>
  <c r="C278" i="4"/>
  <c r="F279" i="4" s="1"/>
  <c r="C279" i="4"/>
  <c r="F280" i="4" s="1"/>
  <c r="C280" i="4"/>
  <c r="F281" i="4" s="1"/>
  <c r="G281" i="4" s="1"/>
  <c r="C281" i="4"/>
  <c r="F282" i="4" s="1"/>
  <c r="C282" i="4"/>
  <c r="F283" i="4" s="1"/>
  <c r="C283" i="4"/>
  <c r="F284" i="4" s="1"/>
  <c r="C284" i="4"/>
  <c r="F285" i="4" s="1"/>
  <c r="C285" i="4"/>
  <c r="F286" i="4" s="1"/>
  <c r="C286" i="4"/>
  <c r="F287" i="4" s="1"/>
  <c r="C287" i="4"/>
  <c r="F288" i="4" s="1"/>
  <c r="C288" i="4"/>
  <c r="F289" i="4" s="1"/>
  <c r="C289" i="4"/>
  <c r="G121" i="4" l="1"/>
  <c r="G57" i="4"/>
  <c r="G217" i="4"/>
  <c r="G73" i="4"/>
  <c r="G25" i="4"/>
  <c r="G249" i="4"/>
  <c r="G201" i="4"/>
  <c r="G9" i="4"/>
  <c r="G265" i="4"/>
  <c r="G105" i="4"/>
  <c r="K85" i="9"/>
  <c r="Q54" i="8" s="1"/>
  <c r="K83" i="9"/>
  <c r="Q52" i="8" s="1"/>
  <c r="K84" i="9"/>
  <c r="Q53" i="8" s="1"/>
  <c r="Q78" i="8" s="1"/>
  <c r="K82" i="9"/>
  <c r="Q51" i="8" s="1"/>
  <c r="Q82" i="9"/>
  <c r="W51" i="8" s="1"/>
  <c r="Q84" i="9"/>
  <c r="W53" i="8" s="1"/>
  <c r="W78" i="8" s="1"/>
  <c r="Q85" i="9"/>
  <c r="W54" i="8" s="1"/>
  <c r="Q83" i="9"/>
  <c r="W52" i="8" s="1"/>
  <c r="L83" i="9"/>
  <c r="R52" i="8" s="1"/>
  <c r="L84" i="9"/>
  <c r="R53" i="8" s="1"/>
  <c r="R78" i="8" s="1"/>
  <c r="L82" i="9"/>
  <c r="R51" i="8" s="1"/>
  <c r="L85" i="9"/>
  <c r="R54" i="8" s="1"/>
  <c r="X85" i="9"/>
  <c r="AD54" i="8" s="1"/>
  <c r="X83" i="9"/>
  <c r="AD52" i="8" s="1"/>
  <c r="X82" i="9"/>
  <c r="AD51" i="8" s="1"/>
  <c r="X84" i="9"/>
  <c r="AD53" i="8" s="1"/>
  <c r="AD78" i="8" s="1"/>
  <c r="R84" i="9"/>
  <c r="X53" i="8" s="1"/>
  <c r="X78" i="8" s="1"/>
  <c r="R82" i="9"/>
  <c r="X51" i="8" s="1"/>
  <c r="R85" i="9"/>
  <c r="R83" i="9"/>
  <c r="X52" i="8" s="1"/>
  <c r="I85" i="9"/>
  <c r="O54" i="8" s="1"/>
  <c r="I83" i="9"/>
  <c r="O52" i="8" s="1"/>
  <c r="I82" i="9"/>
  <c r="O51" i="8" s="1"/>
  <c r="I84" i="9"/>
  <c r="O53" i="8" s="1"/>
  <c r="O78" i="8" s="1"/>
  <c r="H82" i="9"/>
  <c r="N51" i="8" s="1"/>
  <c r="M83" i="9"/>
  <c r="S52" i="8" s="1"/>
  <c r="M84" i="9"/>
  <c r="S53" i="8" s="1"/>
  <c r="S78" i="8" s="1"/>
  <c r="M82" i="9"/>
  <c r="S51" i="8" s="1"/>
  <c r="M85" i="9"/>
  <c r="S54" i="8" s="1"/>
  <c r="J85" i="9"/>
  <c r="P54" i="8" s="1"/>
  <c r="J83" i="9"/>
  <c r="P52" i="8" s="1"/>
  <c r="J82" i="9"/>
  <c r="P51" i="8" s="1"/>
  <c r="J84" i="9"/>
  <c r="P53" i="8" s="1"/>
  <c r="P78" i="8" s="1"/>
  <c r="H84" i="9"/>
  <c r="N53" i="8" s="1"/>
  <c r="N78" i="8" s="1"/>
  <c r="Y85" i="9"/>
  <c r="AE54" i="8" s="1"/>
  <c r="Y84" i="9"/>
  <c r="AE53" i="8" s="1"/>
  <c r="AE78" i="8" s="1"/>
  <c r="Y82" i="9"/>
  <c r="AE51" i="8" s="1"/>
  <c r="Y83" i="9"/>
  <c r="AE52" i="8" s="1"/>
  <c r="B84" i="9"/>
  <c r="H53" i="8" s="1"/>
  <c r="H78" i="8" s="1"/>
  <c r="B82" i="9"/>
  <c r="H51" i="8" s="1"/>
  <c r="B85" i="9"/>
  <c r="H54" i="8" s="1"/>
  <c r="B83" i="9"/>
  <c r="H52" i="8" s="1"/>
  <c r="H83" i="9"/>
  <c r="S84" i="9"/>
  <c r="Y53" i="8" s="1"/>
  <c r="Y78" i="8" s="1"/>
  <c r="S82" i="9"/>
  <c r="Y51" i="8" s="1"/>
  <c r="S83" i="9"/>
  <c r="Y52" i="8" s="1"/>
  <c r="S85" i="9"/>
  <c r="D82" i="9"/>
  <c r="J51" i="8" s="1"/>
  <c r="D85" i="9"/>
  <c r="J54" i="8" s="1"/>
  <c r="D83" i="9"/>
  <c r="J52" i="8" s="1"/>
  <c r="D84" i="9"/>
  <c r="J53" i="8" s="1"/>
  <c r="J78" i="8" s="1"/>
  <c r="H85" i="9"/>
  <c r="N83" i="9"/>
  <c r="T52" i="8" s="1"/>
  <c r="N84" i="9"/>
  <c r="T53" i="8" s="1"/>
  <c r="T78" i="8" s="1"/>
  <c r="N82" i="9"/>
  <c r="T51" i="8" s="1"/>
  <c r="N85" i="9"/>
  <c r="T54" i="8" s="1"/>
  <c r="F85" i="9"/>
  <c r="L54" i="8" s="1"/>
  <c r="F83" i="9"/>
  <c r="L52" i="8" s="1"/>
  <c r="F84" i="9"/>
  <c r="L53" i="8" s="1"/>
  <c r="L78" i="8" s="1"/>
  <c r="F82" i="9"/>
  <c r="L51" i="8" s="1"/>
  <c r="T84" i="9"/>
  <c r="Z53" i="8" s="1"/>
  <c r="Z78" i="8" s="1"/>
  <c r="T83" i="9"/>
  <c r="Z52" i="8" s="1"/>
  <c r="G85" i="9"/>
  <c r="G84" i="9"/>
  <c r="M53" i="8" s="1"/>
  <c r="M78" i="8" s="1"/>
  <c r="G83" i="9"/>
  <c r="G82" i="9"/>
  <c r="M51" i="8" s="1"/>
  <c r="T85" i="9"/>
  <c r="Z54" i="8" s="1"/>
  <c r="U82" i="9"/>
  <c r="AA51" i="8" s="1"/>
  <c r="U85" i="9"/>
  <c r="AA54" i="8" s="1"/>
  <c r="U83" i="9"/>
  <c r="AA52" i="8" s="1"/>
  <c r="U84" i="9"/>
  <c r="AA53" i="8" s="1"/>
  <c r="AA78" i="8" s="1"/>
  <c r="T82" i="9"/>
  <c r="Z51" i="8" s="1"/>
  <c r="C84" i="9"/>
  <c r="I53" i="8" s="1"/>
  <c r="I78" i="8" s="1"/>
  <c r="C82" i="9"/>
  <c r="I51" i="8" s="1"/>
  <c r="C85" i="9"/>
  <c r="I54" i="8" s="1"/>
  <c r="C83" i="9"/>
  <c r="I52" i="8" s="1"/>
  <c r="W82" i="9"/>
  <c r="AC51" i="8" s="1"/>
  <c r="W84" i="9"/>
  <c r="AC53" i="8" s="1"/>
  <c r="AC78" i="8" s="1"/>
  <c r="P84" i="9"/>
  <c r="V53" i="8" s="1"/>
  <c r="V78" i="8" s="1"/>
  <c r="P82" i="9"/>
  <c r="V51" i="8" s="1"/>
  <c r="P85" i="9"/>
  <c r="V54" i="8" s="1"/>
  <c r="P83" i="9"/>
  <c r="V52" i="8" s="1"/>
  <c r="V85" i="9"/>
  <c r="AB54" i="8" s="1"/>
  <c r="V83" i="9"/>
  <c r="AB52" i="8" s="1"/>
  <c r="V84" i="9"/>
  <c r="AB53" i="8" s="1"/>
  <c r="AB78" i="8" s="1"/>
  <c r="V82" i="9"/>
  <c r="AB51" i="8" s="1"/>
  <c r="W83" i="9"/>
  <c r="AC52" i="8" s="1"/>
  <c r="O84" i="9"/>
  <c r="U53" i="8" s="1"/>
  <c r="U78" i="8" s="1"/>
  <c r="O82" i="9"/>
  <c r="U51" i="8" s="1"/>
  <c r="O85" i="9"/>
  <c r="U54" i="8" s="1"/>
  <c r="O83" i="9"/>
  <c r="U52" i="8" s="1"/>
  <c r="E82" i="9"/>
  <c r="K51" i="8" s="1"/>
  <c r="E85" i="9"/>
  <c r="K54" i="8" s="1"/>
  <c r="E83" i="9"/>
  <c r="K52" i="8" s="1"/>
  <c r="E84" i="9"/>
  <c r="K53" i="8" s="1"/>
  <c r="K78" i="8" s="1"/>
  <c r="W85" i="9"/>
  <c r="AC54" i="8" s="1"/>
  <c r="E91" i="9"/>
  <c r="K60" i="8" s="1"/>
  <c r="AE231" i="9"/>
  <c r="D231" i="3" s="1"/>
  <c r="G231" i="3" s="1"/>
  <c r="U91" i="9"/>
  <c r="AA60" i="8" s="1"/>
  <c r="U90" i="9"/>
  <c r="AA59" i="8" s="1"/>
  <c r="U88" i="9"/>
  <c r="AA57" i="8" s="1"/>
  <c r="U89" i="9"/>
  <c r="AA58" i="8" s="1"/>
  <c r="AE75" i="9"/>
  <c r="D75" i="3" s="1"/>
  <c r="G75" i="3" s="1"/>
  <c r="H91" i="9"/>
  <c r="N60" i="8" s="1"/>
  <c r="H88" i="9"/>
  <c r="N57" i="8" s="1"/>
  <c r="H90" i="9"/>
  <c r="N59" i="8" s="1"/>
  <c r="H89" i="9"/>
  <c r="N58" i="8" s="1"/>
  <c r="AD111" i="9"/>
  <c r="E110" i="4" s="1"/>
  <c r="AD3" i="9"/>
  <c r="E2" i="4" s="1"/>
  <c r="Z85" i="9"/>
  <c r="Z84" i="9"/>
  <c r="Z83" i="9"/>
  <c r="F88" i="9"/>
  <c r="L57" i="8" s="1"/>
  <c r="AD243" i="9"/>
  <c r="J243" i="1" s="1"/>
  <c r="AD183" i="9"/>
  <c r="C183" i="3" s="1"/>
  <c r="F183" i="3" s="1"/>
  <c r="AD123" i="9"/>
  <c r="C123" i="3" s="1"/>
  <c r="F123" i="3" s="1"/>
  <c r="AD39" i="9"/>
  <c r="E38" i="4" s="1"/>
  <c r="AD27" i="9"/>
  <c r="J27" i="1" s="1"/>
  <c r="F89" i="9"/>
  <c r="L58" i="8" s="1"/>
  <c r="AE15" i="9"/>
  <c r="D15" i="3" s="1"/>
  <c r="G15" i="3" s="1"/>
  <c r="C90" i="9"/>
  <c r="I59" i="8" s="1"/>
  <c r="C88" i="9"/>
  <c r="I57" i="8" s="1"/>
  <c r="C89" i="9"/>
  <c r="I58" i="8" s="1"/>
  <c r="C91" i="9"/>
  <c r="I60" i="8" s="1"/>
  <c r="AD51" i="9"/>
  <c r="C51" i="3" s="1"/>
  <c r="F51" i="3" s="1"/>
  <c r="F91" i="9"/>
  <c r="L60" i="8" s="1"/>
  <c r="AD267" i="9"/>
  <c r="C267" i="3" s="1"/>
  <c r="F267" i="3" s="1"/>
  <c r="AE87" i="9"/>
  <c r="D87" i="3" s="1"/>
  <c r="G87" i="3" s="1"/>
  <c r="I91" i="9"/>
  <c r="O60" i="8" s="1"/>
  <c r="I90" i="9"/>
  <c r="O59" i="8" s="1"/>
  <c r="I89" i="9"/>
  <c r="O58" i="8" s="1"/>
  <c r="I88" i="9"/>
  <c r="O57" i="8" s="1"/>
  <c r="F90" i="9"/>
  <c r="L59" i="8" s="1"/>
  <c r="AD195" i="9"/>
  <c r="J195" i="1" s="1"/>
  <c r="AE27" i="9"/>
  <c r="D27" i="3" s="1"/>
  <c r="G27" i="3" s="1"/>
  <c r="D88" i="9"/>
  <c r="J57" i="8" s="1"/>
  <c r="D91" i="9"/>
  <c r="J60" i="8" s="1"/>
  <c r="D90" i="9"/>
  <c r="J59" i="8" s="1"/>
  <c r="D89" i="9"/>
  <c r="J58" i="8" s="1"/>
  <c r="AD63" i="9"/>
  <c r="J63" i="1" s="1"/>
  <c r="AD135" i="9"/>
  <c r="J135" i="1" s="1"/>
  <c r="AE195" i="9"/>
  <c r="D195" i="3" s="1"/>
  <c r="G195" i="3" s="1"/>
  <c r="R88" i="9"/>
  <c r="X57" i="8" s="1"/>
  <c r="R91" i="9"/>
  <c r="X60" i="8" s="1"/>
  <c r="R90" i="9"/>
  <c r="X59" i="8" s="1"/>
  <c r="R89" i="9"/>
  <c r="X58" i="8" s="1"/>
  <c r="N88" i="9"/>
  <c r="T57" i="8" s="1"/>
  <c r="AD279" i="9"/>
  <c r="E278" i="4" s="1"/>
  <c r="AD87" i="9"/>
  <c r="J87" i="1" s="1"/>
  <c r="N89" i="9"/>
  <c r="T58" i="8" s="1"/>
  <c r="AD207" i="9"/>
  <c r="C207" i="3" s="1"/>
  <c r="F207" i="3" s="1"/>
  <c r="AE207" i="9"/>
  <c r="D207" i="3" s="1"/>
  <c r="G207" i="3" s="1"/>
  <c r="S89" i="9"/>
  <c r="Y58" i="8" s="1"/>
  <c r="S88" i="9"/>
  <c r="Y57" i="8" s="1"/>
  <c r="S91" i="9"/>
  <c r="Y60" i="8" s="1"/>
  <c r="S90" i="9"/>
  <c r="Y59" i="8" s="1"/>
  <c r="AD99" i="9"/>
  <c r="J99" i="1" s="1"/>
  <c r="AE99" i="9"/>
  <c r="D99" i="3" s="1"/>
  <c r="G99" i="3" s="1"/>
  <c r="J91" i="9"/>
  <c r="P60" i="8" s="1"/>
  <c r="J90" i="9"/>
  <c r="P59" i="8" s="1"/>
  <c r="J89" i="9"/>
  <c r="P58" i="8" s="1"/>
  <c r="J88" i="9"/>
  <c r="P57" i="8" s="1"/>
  <c r="N91" i="9"/>
  <c r="T60" i="8" s="1"/>
  <c r="AD147" i="9"/>
  <c r="E146" i="4" s="1"/>
  <c r="N90" i="9"/>
  <c r="T59" i="8" s="1"/>
  <c r="AE3" i="9"/>
  <c r="D3" i="3" s="1"/>
  <c r="G3" i="3" s="1"/>
  <c r="Z91" i="9"/>
  <c r="Z89" i="9"/>
  <c r="Z88" i="9"/>
  <c r="F39" i="6" s="1"/>
  <c r="B91" i="9"/>
  <c r="H60" i="8" s="1"/>
  <c r="B90" i="9"/>
  <c r="H59" i="8" s="1"/>
  <c r="B89" i="9"/>
  <c r="H58" i="8" s="1"/>
  <c r="B88" i="9"/>
  <c r="H57" i="8" s="1"/>
  <c r="Z90" i="9"/>
  <c r="AE243" i="9"/>
  <c r="D243" i="3" s="1"/>
  <c r="G243" i="3" s="1"/>
  <c r="V91" i="9"/>
  <c r="AB60" i="8" s="1"/>
  <c r="V89" i="9"/>
  <c r="AB58" i="8" s="1"/>
  <c r="V88" i="9"/>
  <c r="AB57" i="8" s="1"/>
  <c r="V90" i="9"/>
  <c r="AB59" i="8" s="1"/>
  <c r="M88" i="9"/>
  <c r="S57" i="8" s="1"/>
  <c r="AE255" i="9"/>
  <c r="D255" i="3" s="1"/>
  <c r="G255" i="3" s="1"/>
  <c r="W89" i="9"/>
  <c r="AC58" i="8" s="1"/>
  <c r="W88" i="9"/>
  <c r="AC57" i="8" s="1"/>
  <c r="W91" i="9"/>
  <c r="AC60" i="8" s="1"/>
  <c r="W90" i="9"/>
  <c r="AC59" i="8" s="1"/>
  <c r="AE111" i="9"/>
  <c r="D111" i="3" s="1"/>
  <c r="G111" i="3" s="1"/>
  <c r="K90" i="9"/>
  <c r="Q59" i="8" s="1"/>
  <c r="K88" i="9"/>
  <c r="Q57" i="8" s="1"/>
  <c r="K89" i="9"/>
  <c r="Q58" i="8" s="1"/>
  <c r="K91" i="9"/>
  <c r="Q60" i="8" s="1"/>
  <c r="AE171" i="9"/>
  <c r="D171" i="3" s="1"/>
  <c r="G171" i="3" s="1"/>
  <c r="P91" i="9"/>
  <c r="V60" i="8" s="1"/>
  <c r="P90" i="9"/>
  <c r="V59" i="8" s="1"/>
  <c r="P89" i="9"/>
  <c r="V58" i="8" s="1"/>
  <c r="P88" i="9"/>
  <c r="V57" i="8" s="1"/>
  <c r="O91" i="9"/>
  <c r="U60" i="8" s="1"/>
  <c r="M89" i="9"/>
  <c r="S58" i="8" s="1"/>
  <c r="AE123" i="9"/>
  <c r="D123" i="3" s="1"/>
  <c r="G123" i="3" s="1"/>
  <c r="L91" i="9"/>
  <c r="R60" i="8" s="1"/>
  <c r="L90" i="9"/>
  <c r="R59" i="8" s="1"/>
  <c r="L88" i="9"/>
  <c r="R57" i="8" s="1"/>
  <c r="L89" i="9"/>
  <c r="R58" i="8" s="1"/>
  <c r="AD159" i="9"/>
  <c r="E158" i="4" s="1"/>
  <c r="AD231" i="9"/>
  <c r="E230" i="4" s="1"/>
  <c r="AE183" i="9"/>
  <c r="D183" i="3" s="1"/>
  <c r="G183" i="3" s="1"/>
  <c r="Q91" i="9"/>
  <c r="W60" i="8" s="1"/>
  <c r="Q90" i="9"/>
  <c r="W59" i="8" s="1"/>
  <c r="Q89" i="9"/>
  <c r="W58" i="8" s="1"/>
  <c r="Q88" i="9"/>
  <c r="W57" i="8" s="1"/>
  <c r="AE267" i="9"/>
  <c r="D267" i="3" s="1"/>
  <c r="G267" i="3" s="1"/>
  <c r="X91" i="9"/>
  <c r="AD60" i="8" s="1"/>
  <c r="X90" i="9"/>
  <c r="AD59" i="8" s="1"/>
  <c r="X89" i="9"/>
  <c r="AD58" i="8" s="1"/>
  <c r="X88" i="9"/>
  <c r="AD57" i="8" s="1"/>
  <c r="E88" i="9"/>
  <c r="K57" i="8" s="1"/>
  <c r="O88" i="9"/>
  <c r="U57" i="8" s="1"/>
  <c r="M90" i="9"/>
  <c r="S59" i="8" s="1"/>
  <c r="AD171" i="9"/>
  <c r="C171" i="3" s="1"/>
  <c r="F171" i="3" s="1"/>
  <c r="AE63" i="9"/>
  <c r="D63" i="3" s="1"/>
  <c r="G63" i="3" s="1"/>
  <c r="G90" i="9"/>
  <c r="M59" i="8" s="1"/>
  <c r="G88" i="9"/>
  <c r="M57" i="8" s="1"/>
  <c r="G89" i="9"/>
  <c r="M58" i="8" s="1"/>
  <c r="G91" i="9"/>
  <c r="M60" i="8" s="1"/>
  <c r="AE279" i="9"/>
  <c r="D279" i="3" s="1"/>
  <c r="G279" i="3" s="1"/>
  <c r="Y91" i="9"/>
  <c r="AE60" i="8" s="1"/>
  <c r="Y90" i="9"/>
  <c r="AE59" i="8" s="1"/>
  <c r="Y89" i="9"/>
  <c r="AE58" i="8" s="1"/>
  <c r="Y88" i="9"/>
  <c r="AE57" i="8" s="1"/>
  <c r="E89" i="9"/>
  <c r="K58" i="8" s="1"/>
  <c r="O89" i="9"/>
  <c r="U58" i="8" s="1"/>
  <c r="M91" i="9"/>
  <c r="S60" i="8" s="1"/>
  <c r="AD15" i="9"/>
  <c r="AE219" i="9"/>
  <c r="D219" i="3" s="1"/>
  <c r="G219" i="3" s="1"/>
  <c r="T91" i="9"/>
  <c r="Z60" i="8" s="1"/>
  <c r="T90" i="9"/>
  <c r="Z59" i="8" s="1"/>
  <c r="T89" i="9"/>
  <c r="Z58" i="8" s="1"/>
  <c r="T88" i="9"/>
  <c r="Z57" i="8" s="1"/>
  <c r="E90" i="9"/>
  <c r="K59" i="8" s="1"/>
  <c r="O90" i="9"/>
  <c r="U59" i="8" s="1"/>
  <c r="G185" i="4"/>
  <c r="G169" i="4"/>
  <c r="G153" i="4"/>
  <c r="G233" i="4"/>
  <c r="G193" i="4"/>
  <c r="G97" i="4"/>
  <c r="G209" i="4"/>
  <c r="G253" i="4"/>
  <c r="G237" i="4"/>
  <c r="G221" i="4"/>
  <c r="G205" i="4"/>
  <c r="G189" i="4"/>
  <c r="G17" i="4"/>
  <c r="G257" i="4"/>
  <c r="G145" i="4"/>
  <c r="G285" i="4"/>
  <c r="G273" i="4"/>
  <c r="G177" i="4"/>
  <c r="G161" i="4"/>
  <c r="G225" i="4"/>
  <c r="G65" i="4"/>
  <c r="G33" i="4"/>
  <c r="G129" i="4"/>
  <c r="G241" i="4"/>
  <c r="G113" i="4"/>
  <c r="G277" i="4"/>
  <c r="G245" i="4"/>
  <c r="G229" i="4"/>
  <c r="G213" i="4"/>
  <c r="G197" i="4"/>
  <c r="G289" i="4"/>
  <c r="G49" i="4"/>
  <c r="G81" i="4"/>
  <c r="L9" i="4"/>
  <c r="L15" i="4" s="1"/>
  <c r="L16" i="4" s="1"/>
  <c r="G181" i="4"/>
  <c r="G173" i="4"/>
  <c r="G165" i="4"/>
  <c r="G157" i="4"/>
  <c r="G149" i="4"/>
  <c r="G141" i="4"/>
  <c r="G133" i="4"/>
  <c r="G125" i="4"/>
  <c r="G117" i="4"/>
  <c r="G109" i="4"/>
  <c r="G101" i="4"/>
  <c r="G93" i="4"/>
  <c r="G85" i="4"/>
  <c r="G77" i="4"/>
  <c r="G69" i="4"/>
  <c r="G61" i="4"/>
  <c r="G53" i="4"/>
  <c r="G37" i="4"/>
  <c r="G29" i="4"/>
  <c r="G21" i="4"/>
  <c r="G13" i="4"/>
  <c r="G5" i="4"/>
  <c r="K118" i="1"/>
  <c r="D118" i="3"/>
  <c r="G118" i="3" s="1"/>
  <c r="J139" i="1"/>
  <c r="E138" i="4"/>
  <c r="C139" i="3"/>
  <c r="F139" i="3" s="1"/>
  <c r="J155" i="1"/>
  <c r="E154" i="4"/>
  <c r="C155" i="3"/>
  <c r="F155" i="3" s="1"/>
  <c r="J187" i="1"/>
  <c r="E186" i="4"/>
  <c r="C187" i="3"/>
  <c r="F187" i="3" s="1"/>
  <c r="J205" i="1"/>
  <c r="E204" i="4"/>
  <c r="C205" i="3"/>
  <c r="F205" i="3" s="1"/>
  <c r="J239" i="1"/>
  <c r="E238" i="4"/>
  <c r="C239" i="3"/>
  <c r="F239" i="3" s="1"/>
  <c r="J259" i="1"/>
  <c r="E258" i="4"/>
  <c r="C259" i="3"/>
  <c r="F259" i="3" s="1"/>
  <c r="J275" i="1"/>
  <c r="E274" i="4"/>
  <c r="C275" i="3"/>
  <c r="F275" i="3" s="1"/>
  <c r="K179" i="1"/>
  <c r="D179" i="3"/>
  <c r="G179" i="3" s="1"/>
  <c r="K239" i="1"/>
  <c r="D239" i="3"/>
  <c r="G239" i="3" s="1"/>
  <c r="J19" i="1"/>
  <c r="E18" i="4"/>
  <c r="C19" i="3"/>
  <c r="F19" i="3" s="1"/>
  <c r="K59" i="1"/>
  <c r="D59" i="3"/>
  <c r="G59" i="3" s="1"/>
  <c r="K91" i="1"/>
  <c r="D91" i="3"/>
  <c r="G91" i="3" s="1"/>
  <c r="J140" i="1"/>
  <c r="E139" i="4"/>
  <c r="C140" i="3"/>
  <c r="F140" i="3" s="1"/>
  <c r="J160" i="1"/>
  <c r="E159" i="4"/>
  <c r="C160" i="3"/>
  <c r="F160" i="3" s="1"/>
  <c r="J176" i="1"/>
  <c r="E175" i="4"/>
  <c r="C176" i="3"/>
  <c r="F176" i="3" s="1"/>
  <c r="J192" i="1"/>
  <c r="E191" i="4"/>
  <c r="C192" i="3"/>
  <c r="F192" i="3" s="1"/>
  <c r="J208" i="1"/>
  <c r="E207" i="4"/>
  <c r="C208" i="3"/>
  <c r="F208" i="3" s="1"/>
  <c r="J224" i="1"/>
  <c r="E223" i="4"/>
  <c r="C224" i="3"/>
  <c r="F224" i="3" s="1"/>
  <c r="J240" i="1"/>
  <c r="E239" i="4"/>
  <c r="C240" i="3"/>
  <c r="F240" i="3" s="1"/>
  <c r="J260" i="1"/>
  <c r="E259" i="4"/>
  <c r="C260" i="3"/>
  <c r="F260" i="3" s="1"/>
  <c r="J280" i="1"/>
  <c r="E279" i="4"/>
  <c r="C280" i="3"/>
  <c r="F280" i="3" s="1"/>
  <c r="K12" i="1"/>
  <c r="D12" i="3"/>
  <c r="G12" i="3" s="1"/>
  <c r="J9" i="1"/>
  <c r="E8" i="4"/>
  <c r="C9" i="3"/>
  <c r="F9" i="3" s="1"/>
  <c r="J65" i="1"/>
  <c r="E64" i="4"/>
  <c r="C65" i="3"/>
  <c r="F65" i="3" s="1"/>
  <c r="J129" i="1"/>
  <c r="E128" i="4"/>
  <c r="C129" i="3"/>
  <c r="F129" i="3" s="1"/>
  <c r="K189" i="1"/>
  <c r="D189" i="3"/>
  <c r="G189" i="3" s="1"/>
  <c r="K253" i="1"/>
  <c r="D253" i="3"/>
  <c r="G253" i="3" s="1"/>
  <c r="K283" i="1"/>
  <c r="D283" i="3"/>
  <c r="G283" i="3" s="1"/>
  <c r="J64" i="1"/>
  <c r="E63" i="4"/>
  <c r="C64" i="3"/>
  <c r="F64" i="3" s="1"/>
  <c r="J80" i="1"/>
  <c r="E79" i="4"/>
  <c r="C80" i="3"/>
  <c r="F80" i="3" s="1"/>
  <c r="J120" i="1"/>
  <c r="E119" i="4"/>
  <c r="C120" i="3"/>
  <c r="F120" i="3" s="1"/>
  <c r="K196" i="1"/>
  <c r="D196" i="3"/>
  <c r="G196" i="3" s="1"/>
  <c r="K212" i="1"/>
  <c r="D212" i="3"/>
  <c r="G212" i="3" s="1"/>
  <c r="K228" i="1"/>
  <c r="D228" i="3"/>
  <c r="G228" i="3" s="1"/>
  <c r="K244" i="1"/>
  <c r="D244" i="3"/>
  <c r="G244" i="3" s="1"/>
  <c r="J101" i="1"/>
  <c r="E100" i="4"/>
  <c r="C101" i="3"/>
  <c r="F101" i="3" s="1"/>
  <c r="K185" i="1"/>
  <c r="D185" i="3"/>
  <c r="G185" i="3" s="1"/>
  <c r="K249" i="1"/>
  <c r="D249" i="3"/>
  <c r="G249" i="3" s="1"/>
  <c r="K263" i="1"/>
  <c r="D263" i="3"/>
  <c r="G263" i="3" s="1"/>
  <c r="K28" i="1"/>
  <c r="D28" i="3"/>
  <c r="G28" i="3" s="1"/>
  <c r="K44" i="1"/>
  <c r="D44" i="3"/>
  <c r="G44" i="3" s="1"/>
  <c r="K60" i="1"/>
  <c r="D60" i="3"/>
  <c r="G60" i="3" s="1"/>
  <c r="K76" i="1"/>
  <c r="D76" i="3"/>
  <c r="G76" i="3" s="1"/>
  <c r="K92" i="1"/>
  <c r="D92" i="3"/>
  <c r="G92" i="3" s="1"/>
  <c r="K108" i="1"/>
  <c r="D108" i="3"/>
  <c r="G108" i="3" s="1"/>
  <c r="K124" i="1"/>
  <c r="D124" i="3"/>
  <c r="G124" i="3" s="1"/>
  <c r="J145" i="1"/>
  <c r="E144" i="4"/>
  <c r="C145" i="3"/>
  <c r="F145" i="3" s="1"/>
  <c r="J161" i="1"/>
  <c r="E160" i="4"/>
  <c r="C161" i="3"/>
  <c r="F161" i="3" s="1"/>
  <c r="J177" i="1"/>
  <c r="E176" i="4"/>
  <c r="C177" i="3"/>
  <c r="F177" i="3" s="1"/>
  <c r="J189" i="1"/>
  <c r="E188" i="4"/>
  <c r="C189" i="3"/>
  <c r="F189" i="3" s="1"/>
  <c r="J209" i="1"/>
  <c r="E208" i="4"/>
  <c r="C209" i="3"/>
  <c r="F209" i="3" s="1"/>
  <c r="J225" i="1"/>
  <c r="E224" i="4"/>
  <c r="C225" i="3"/>
  <c r="F225" i="3" s="1"/>
  <c r="J241" i="1"/>
  <c r="E240" i="4"/>
  <c r="C241" i="3"/>
  <c r="F241" i="3" s="1"/>
  <c r="J269" i="1"/>
  <c r="E268" i="4"/>
  <c r="C269" i="3"/>
  <c r="F269" i="3" s="1"/>
  <c r="J285" i="1"/>
  <c r="E284" i="4"/>
  <c r="C285" i="3"/>
  <c r="F285" i="3" s="1"/>
  <c r="J37" i="1"/>
  <c r="E36" i="4"/>
  <c r="C37" i="3"/>
  <c r="F37" i="3" s="1"/>
  <c r="J89" i="1"/>
  <c r="E88" i="4"/>
  <c r="C89" i="3"/>
  <c r="F89" i="3" s="1"/>
  <c r="K149" i="1"/>
  <c r="D149" i="3"/>
  <c r="G149" i="3" s="1"/>
  <c r="K213" i="1"/>
  <c r="D213" i="3"/>
  <c r="G213" i="3" s="1"/>
  <c r="K273" i="1"/>
  <c r="D273" i="3"/>
  <c r="G273" i="3" s="1"/>
  <c r="J77" i="1"/>
  <c r="E76" i="4"/>
  <c r="C77" i="3"/>
  <c r="F77" i="3" s="1"/>
  <c r="K209" i="1"/>
  <c r="D209" i="3"/>
  <c r="G209" i="3" s="1"/>
  <c r="K277" i="1"/>
  <c r="D277" i="3"/>
  <c r="G277" i="3" s="1"/>
  <c r="K25" i="1"/>
  <c r="D25" i="3"/>
  <c r="G25" i="3" s="1"/>
  <c r="K41" i="1"/>
  <c r="D41" i="3"/>
  <c r="G41" i="3" s="1"/>
  <c r="K61" i="1"/>
  <c r="D61" i="3"/>
  <c r="G61" i="3" s="1"/>
  <c r="K77" i="1"/>
  <c r="D77" i="3"/>
  <c r="G77" i="3" s="1"/>
  <c r="K125" i="1"/>
  <c r="D125" i="3"/>
  <c r="G125" i="3" s="1"/>
  <c r="J142" i="1"/>
  <c r="E141" i="4"/>
  <c r="C142" i="3"/>
  <c r="F142" i="3" s="1"/>
  <c r="J254" i="1"/>
  <c r="E253" i="4"/>
  <c r="C254" i="3"/>
  <c r="F254" i="3" s="1"/>
  <c r="J274" i="1"/>
  <c r="E273" i="4"/>
  <c r="C274" i="3"/>
  <c r="F274" i="3" s="1"/>
  <c r="J290" i="1"/>
  <c r="E289" i="4"/>
  <c r="C290" i="3"/>
  <c r="F290" i="3" s="1"/>
  <c r="J43" i="1"/>
  <c r="E42" i="4"/>
  <c r="C43" i="3"/>
  <c r="F43" i="3" s="1"/>
  <c r="K175" i="1"/>
  <c r="D175" i="3"/>
  <c r="G175" i="3" s="1"/>
  <c r="J86" i="1"/>
  <c r="E85" i="4"/>
  <c r="C86" i="3"/>
  <c r="F86" i="3" s="1"/>
  <c r="J114" i="1"/>
  <c r="E113" i="4"/>
  <c r="C114" i="3"/>
  <c r="F114" i="3" s="1"/>
  <c r="K270" i="1"/>
  <c r="D270" i="3"/>
  <c r="G270" i="3" s="1"/>
  <c r="K286" i="1"/>
  <c r="D286" i="3"/>
  <c r="G286" i="3" s="1"/>
  <c r="K203" i="1"/>
  <c r="D203" i="3"/>
  <c r="G203" i="3" s="1"/>
  <c r="G261" i="4"/>
  <c r="G268" i="4"/>
  <c r="G236" i="4"/>
  <c r="G228" i="4"/>
  <c r="G220" i="4"/>
  <c r="G204" i="4"/>
  <c r="G188" i="4"/>
  <c r="G172" i="4"/>
  <c r="G156" i="4"/>
  <c r="G140" i="4"/>
  <c r="G124" i="4"/>
  <c r="G108" i="4"/>
  <c r="G92" i="4"/>
  <c r="G76" i="4"/>
  <c r="G60" i="4"/>
  <c r="G44" i="4"/>
  <c r="G28" i="4"/>
  <c r="G12" i="4"/>
  <c r="G4" i="4"/>
  <c r="K54" i="1"/>
  <c r="D54" i="3"/>
  <c r="G54" i="3" s="1"/>
  <c r="K70" i="1"/>
  <c r="D70" i="3"/>
  <c r="G70" i="3" s="1"/>
  <c r="K90" i="1"/>
  <c r="D90" i="3"/>
  <c r="G90" i="3" s="1"/>
  <c r="K106" i="1"/>
  <c r="D106" i="3"/>
  <c r="G106" i="3" s="1"/>
  <c r="J203" i="1"/>
  <c r="E202" i="4"/>
  <c r="C203" i="3"/>
  <c r="F203" i="3" s="1"/>
  <c r="J227" i="1"/>
  <c r="E226" i="4"/>
  <c r="C227" i="3"/>
  <c r="F227" i="3" s="1"/>
  <c r="J67" i="1"/>
  <c r="E66" i="4"/>
  <c r="C67" i="3"/>
  <c r="F67" i="3" s="1"/>
  <c r="K19" i="1"/>
  <c r="D19" i="3"/>
  <c r="G19" i="3" s="1"/>
  <c r="K163" i="1"/>
  <c r="D163" i="3"/>
  <c r="G163" i="3" s="1"/>
  <c r="K23" i="1"/>
  <c r="D23" i="3"/>
  <c r="G23" i="3" s="1"/>
  <c r="K45" i="1"/>
  <c r="D45" i="3"/>
  <c r="G45" i="3" s="1"/>
  <c r="K126" i="1"/>
  <c r="D126" i="3"/>
  <c r="G126" i="3" s="1"/>
  <c r="K205" i="1"/>
  <c r="D205" i="3"/>
  <c r="G205" i="3" s="1"/>
  <c r="E27" i="4"/>
  <c r="C28" i="3"/>
  <c r="F28" i="3" s="1"/>
  <c r="J48" i="1"/>
  <c r="E47" i="4"/>
  <c r="C48" i="3"/>
  <c r="F48" i="3" s="1"/>
  <c r="K136" i="1"/>
  <c r="D136" i="3"/>
  <c r="G136" i="3" s="1"/>
  <c r="K152" i="1"/>
  <c r="D152" i="3"/>
  <c r="G152" i="3" s="1"/>
  <c r="K168" i="1"/>
  <c r="D168" i="3"/>
  <c r="G168" i="3" s="1"/>
  <c r="J244" i="1"/>
  <c r="E243" i="4"/>
  <c r="C244" i="3"/>
  <c r="F244" i="3" s="1"/>
  <c r="K264" i="1"/>
  <c r="D264" i="3"/>
  <c r="G264" i="3" s="1"/>
  <c r="J5" i="1"/>
  <c r="E4" i="4"/>
  <c r="C5" i="3"/>
  <c r="F5" i="3" s="1"/>
  <c r="J53" i="1"/>
  <c r="E52" i="4"/>
  <c r="C53" i="3"/>
  <c r="F53" i="3" s="1"/>
  <c r="J257" i="1"/>
  <c r="E256" i="4"/>
  <c r="C257" i="3"/>
  <c r="F257" i="3" s="1"/>
  <c r="K17" i="1"/>
  <c r="D17" i="3"/>
  <c r="G17" i="3" s="1"/>
  <c r="J144" i="1"/>
  <c r="E143" i="4"/>
  <c r="C144" i="3"/>
  <c r="F144" i="3" s="1"/>
  <c r="J158" i="1"/>
  <c r="E157" i="4"/>
  <c r="C158" i="3"/>
  <c r="F158" i="3" s="1"/>
  <c r="J174" i="1"/>
  <c r="E173" i="4"/>
  <c r="C174" i="3"/>
  <c r="F174" i="3" s="1"/>
  <c r="J190" i="1"/>
  <c r="E189" i="4"/>
  <c r="C190" i="3"/>
  <c r="F190" i="3" s="1"/>
  <c r="J206" i="1"/>
  <c r="E205" i="4"/>
  <c r="C206" i="3"/>
  <c r="F206" i="3" s="1"/>
  <c r="J226" i="1"/>
  <c r="E225" i="4"/>
  <c r="C226" i="3"/>
  <c r="F226" i="3" s="1"/>
  <c r="J218" i="1"/>
  <c r="E217" i="4"/>
  <c r="C218" i="3"/>
  <c r="F218" i="3" s="1"/>
  <c r="K191" i="1"/>
  <c r="D191" i="3"/>
  <c r="G191" i="3" s="1"/>
  <c r="J30" i="1"/>
  <c r="E29" i="4"/>
  <c r="C30" i="3"/>
  <c r="F30" i="3" s="1"/>
  <c r="J46" i="1"/>
  <c r="E45" i="4"/>
  <c r="C46" i="3"/>
  <c r="F46" i="3" s="1"/>
  <c r="J66" i="1"/>
  <c r="E65" i="4"/>
  <c r="C66" i="3"/>
  <c r="F66" i="3" s="1"/>
  <c r="J82" i="1"/>
  <c r="E81" i="4"/>
  <c r="C82" i="3"/>
  <c r="F82" i="3" s="1"/>
  <c r="J130" i="1"/>
  <c r="E129" i="4"/>
  <c r="C130" i="3"/>
  <c r="F130" i="3" s="1"/>
  <c r="K146" i="1"/>
  <c r="D146" i="3"/>
  <c r="G146" i="3" s="1"/>
  <c r="K162" i="1"/>
  <c r="D162" i="3"/>
  <c r="G162" i="3" s="1"/>
  <c r="K178" i="1"/>
  <c r="D178" i="3"/>
  <c r="G178" i="3" s="1"/>
  <c r="K194" i="1"/>
  <c r="D194" i="3"/>
  <c r="G194" i="3" s="1"/>
  <c r="K210" i="1"/>
  <c r="D210" i="3"/>
  <c r="G210" i="3" s="1"/>
  <c r="K226" i="1"/>
  <c r="D226" i="3"/>
  <c r="G226" i="3" s="1"/>
  <c r="K242" i="1"/>
  <c r="D242" i="3"/>
  <c r="G242" i="3" s="1"/>
  <c r="K258" i="1"/>
  <c r="D258" i="3"/>
  <c r="G258" i="3" s="1"/>
  <c r="C63" i="3"/>
  <c r="F63" i="3" s="1"/>
  <c r="K139" i="1"/>
  <c r="D139" i="3"/>
  <c r="G139" i="3" s="1"/>
  <c r="K275" i="1"/>
  <c r="D275" i="3"/>
  <c r="G275" i="3" s="1"/>
  <c r="G284" i="4"/>
  <c r="G252" i="4"/>
  <c r="K38" i="1"/>
  <c r="D38" i="3"/>
  <c r="G38" i="3" s="1"/>
  <c r="K107" i="1"/>
  <c r="D107" i="3"/>
  <c r="G107" i="3" s="1"/>
  <c r="K122" i="1"/>
  <c r="D122" i="3"/>
  <c r="G122" i="3" s="1"/>
  <c r="J143" i="1"/>
  <c r="E142" i="4"/>
  <c r="C143" i="3"/>
  <c r="F143" i="3" s="1"/>
  <c r="C159" i="3"/>
  <c r="F159" i="3" s="1"/>
  <c r="J175" i="1"/>
  <c r="E174" i="4"/>
  <c r="C175" i="3"/>
  <c r="F175" i="3" s="1"/>
  <c r="J191" i="1"/>
  <c r="E190" i="4"/>
  <c r="C191" i="3"/>
  <c r="F191" i="3" s="1"/>
  <c r="E242" i="4"/>
  <c r="C243" i="3"/>
  <c r="F243" i="3" s="1"/>
  <c r="J263" i="1"/>
  <c r="E262" i="4"/>
  <c r="C263" i="3"/>
  <c r="F263" i="3" s="1"/>
  <c r="K7" i="1"/>
  <c r="D7" i="3"/>
  <c r="G7" i="3" s="1"/>
  <c r="J47" i="1"/>
  <c r="E46" i="4"/>
  <c r="C47" i="3"/>
  <c r="F47" i="3" s="1"/>
  <c r="K43" i="1"/>
  <c r="D43" i="3"/>
  <c r="G43" i="3" s="1"/>
  <c r="K79" i="1"/>
  <c r="D79" i="3"/>
  <c r="G79" i="3" s="1"/>
  <c r="K95" i="1"/>
  <c r="D95" i="3"/>
  <c r="G95" i="3" s="1"/>
  <c r="K115" i="1"/>
  <c r="D115" i="3"/>
  <c r="G115" i="3" s="1"/>
  <c r="K127" i="1"/>
  <c r="D127" i="3"/>
  <c r="G127" i="3" s="1"/>
  <c r="J148" i="1"/>
  <c r="E147" i="4"/>
  <c r="C148" i="3"/>
  <c r="F148" i="3" s="1"/>
  <c r="J164" i="1"/>
  <c r="E163" i="4"/>
  <c r="C164" i="3"/>
  <c r="F164" i="3" s="1"/>
  <c r="J180" i="1"/>
  <c r="E179" i="4"/>
  <c r="C180" i="3"/>
  <c r="F180" i="3" s="1"/>
  <c r="J196" i="1"/>
  <c r="E195" i="4"/>
  <c r="C196" i="3"/>
  <c r="F196" i="3" s="1"/>
  <c r="J212" i="1"/>
  <c r="E211" i="4"/>
  <c r="C212" i="3"/>
  <c r="F212" i="3" s="1"/>
  <c r="J228" i="1"/>
  <c r="E227" i="4"/>
  <c r="C228" i="3"/>
  <c r="F228" i="3" s="1"/>
  <c r="J248" i="1"/>
  <c r="E247" i="4"/>
  <c r="C248" i="3"/>
  <c r="F248" i="3" s="1"/>
  <c r="J268" i="1"/>
  <c r="E267" i="4"/>
  <c r="C268" i="3"/>
  <c r="F268" i="3" s="1"/>
  <c r="J284" i="1"/>
  <c r="E283" i="4"/>
  <c r="C284" i="3"/>
  <c r="F284" i="3" s="1"/>
  <c r="K272" i="1"/>
  <c r="D272" i="3"/>
  <c r="G272" i="3" s="1"/>
  <c r="K5" i="1"/>
  <c r="D5" i="3"/>
  <c r="G5" i="3" s="1"/>
  <c r="J81" i="1"/>
  <c r="E80" i="4"/>
  <c r="C81" i="3"/>
  <c r="F81" i="3" s="1"/>
  <c r="K145" i="1"/>
  <c r="D145" i="3"/>
  <c r="G145" i="3" s="1"/>
  <c r="K269" i="1"/>
  <c r="D269" i="3"/>
  <c r="G269" i="3" s="1"/>
  <c r="J16" i="1"/>
  <c r="E15" i="4"/>
  <c r="C16" i="3"/>
  <c r="F16" i="3" s="1"/>
  <c r="J68" i="1"/>
  <c r="E67" i="4"/>
  <c r="C68" i="3"/>
  <c r="F68" i="3" s="1"/>
  <c r="J84" i="1"/>
  <c r="E83" i="4"/>
  <c r="C84" i="3"/>
  <c r="F84" i="3" s="1"/>
  <c r="J104" i="1"/>
  <c r="E103" i="4"/>
  <c r="C104" i="3"/>
  <c r="F104" i="3" s="1"/>
  <c r="J100" i="1"/>
  <c r="E99" i="4"/>
  <c r="C100" i="3"/>
  <c r="F100" i="3" s="1"/>
  <c r="K184" i="1"/>
  <c r="D184" i="3"/>
  <c r="G184" i="3" s="1"/>
  <c r="K200" i="1"/>
  <c r="D200" i="3"/>
  <c r="G200" i="3" s="1"/>
  <c r="K216" i="1"/>
  <c r="D216" i="3"/>
  <c r="G216" i="3" s="1"/>
  <c r="K232" i="1"/>
  <c r="D232" i="3"/>
  <c r="G232" i="3" s="1"/>
  <c r="K137" i="1"/>
  <c r="D137" i="3"/>
  <c r="G137" i="3" s="1"/>
  <c r="K201" i="1"/>
  <c r="D201" i="3"/>
  <c r="G201" i="3" s="1"/>
  <c r="K265" i="1"/>
  <c r="D265" i="3"/>
  <c r="G265" i="3" s="1"/>
  <c r="J8" i="1"/>
  <c r="E7" i="4"/>
  <c r="C8" i="3"/>
  <c r="F8" i="3" s="1"/>
  <c r="K32" i="1"/>
  <c r="D32" i="3"/>
  <c r="G32" i="3" s="1"/>
  <c r="K48" i="1"/>
  <c r="D48" i="3"/>
  <c r="G48" i="3" s="1"/>
  <c r="K64" i="1"/>
  <c r="D64" i="3"/>
  <c r="G64" i="3" s="1"/>
  <c r="K80" i="1"/>
  <c r="D80" i="3"/>
  <c r="G80" i="3" s="1"/>
  <c r="K96" i="1"/>
  <c r="D96" i="3"/>
  <c r="G96" i="3" s="1"/>
  <c r="K112" i="1"/>
  <c r="D112" i="3"/>
  <c r="G112" i="3" s="1"/>
  <c r="K128" i="1"/>
  <c r="D128" i="3"/>
  <c r="G128" i="3" s="1"/>
  <c r="J149" i="1"/>
  <c r="E148" i="4"/>
  <c r="C149" i="3"/>
  <c r="F149" i="3" s="1"/>
  <c r="J165" i="1"/>
  <c r="E164" i="4"/>
  <c r="C165" i="3"/>
  <c r="F165" i="3" s="1"/>
  <c r="J181" i="1"/>
  <c r="E180" i="4"/>
  <c r="C181" i="3"/>
  <c r="F181" i="3" s="1"/>
  <c r="J193" i="1"/>
  <c r="E192" i="4"/>
  <c r="C193" i="3"/>
  <c r="F193" i="3" s="1"/>
  <c r="J213" i="1"/>
  <c r="E212" i="4"/>
  <c r="C213" i="3"/>
  <c r="F213" i="3" s="1"/>
  <c r="J229" i="1"/>
  <c r="E228" i="4"/>
  <c r="C229" i="3"/>
  <c r="F229" i="3" s="1"/>
  <c r="J245" i="1"/>
  <c r="E244" i="4"/>
  <c r="C245" i="3"/>
  <c r="F245" i="3" s="1"/>
  <c r="J273" i="1"/>
  <c r="E272" i="4"/>
  <c r="C273" i="3"/>
  <c r="F273" i="3" s="1"/>
  <c r="J289" i="1"/>
  <c r="E288" i="4"/>
  <c r="C289" i="3"/>
  <c r="F289" i="3" s="1"/>
  <c r="J45" i="1"/>
  <c r="E44" i="4"/>
  <c r="C45" i="3"/>
  <c r="F45" i="3" s="1"/>
  <c r="J105" i="1"/>
  <c r="E104" i="4"/>
  <c r="C105" i="3"/>
  <c r="F105" i="3" s="1"/>
  <c r="K165" i="1"/>
  <c r="D165" i="3"/>
  <c r="G165" i="3" s="1"/>
  <c r="K229" i="1"/>
  <c r="D229" i="3"/>
  <c r="G229" i="3" s="1"/>
  <c r="K289" i="1"/>
  <c r="D289" i="3"/>
  <c r="G289" i="3" s="1"/>
  <c r="J17" i="1"/>
  <c r="E16" i="4"/>
  <c r="C17" i="3"/>
  <c r="F17" i="3" s="1"/>
  <c r="J93" i="1"/>
  <c r="E92" i="4"/>
  <c r="C93" i="3"/>
  <c r="F93" i="3" s="1"/>
  <c r="K157" i="1"/>
  <c r="D157" i="3"/>
  <c r="G157" i="3" s="1"/>
  <c r="K225" i="1"/>
  <c r="D225" i="3"/>
  <c r="G225" i="3" s="1"/>
  <c r="J6" i="1"/>
  <c r="E5" i="4"/>
  <c r="C6" i="3"/>
  <c r="F6" i="3" s="1"/>
  <c r="K29" i="1"/>
  <c r="D29" i="3"/>
  <c r="G29" i="3" s="1"/>
  <c r="K49" i="1"/>
  <c r="D49" i="3"/>
  <c r="G49" i="3" s="1"/>
  <c r="K65" i="1"/>
  <c r="D65" i="3"/>
  <c r="G65" i="3" s="1"/>
  <c r="K81" i="1"/>
  <c r="D81" i="3"/>
  <c r="G81" i="3" s="1"/>
  <c r="K97" i="1"/>
  <c r="D97" i="3"/>
  <c r="G97" i="3" s="1"/>
  <c r="K113" i="1"/>
  <c r="D113" i="3"/>
  <c r="G113" i="3" s="1"/>
  <c r="K129" i="1"/>
  <c r="D129" i="3"/>
  <c r="G129" i="3" s="1"/>
  <c r="J242" i="1"/>
  <c r="E241" i="4"/>
  <c r="C242" i="3"/>
  <c r="F242" i="3" s="1"/>
  <c r="J262" i="1"/>
  <c r="E261" i="4"/>
  <c r="C262" i="3"/>
  <c r="F262" i="3" s="1"/>
  <c r="J278" i="1"/>
  <c r="E277" i="4"/>
  <c r="C278" i="3"/>
  <c r="F278" i="3" s="1"/>
  <c r="K6" i="1"/>
  <c r="D6" i="3"/>
  <c r="G6" i="3" s="1"/>
  <c r="J107" i="1"/>
  <c r="E106" i="4"/>
  <c r="C107" i="3"/>
  <c r="F107" i="3" s="1"/>
  <c r="J34" i="1"/>
  <c r="E33" i="4"/>
  <c r="C34" i="3"/>
  <c r="F34" i="3" s="1"/>
  <c r="J102" i="1"/>
  <c r="E101" i="4"/>
  <c r="C102" i="3"/>
  <c r="F102" i="3" s="1"/>
  <c r="J118" i="1"/>
  <c r="E117" i="4"/>
  <c r="C118" i="3"/>
  <c r="F118" i="3" s="1"/>
  <c r="J258" i="1"/>
  <c r="E257" i="4"/>
  <c r="C258" i="3"/>
  <c r="F258" i="3" s="1"/>
  <c r="K274" i="1"/>
  <c r="D274" i="3"/>
  <c r="G274" i="3" s="1"/>
  <c r="K290" i="1"/>
  <c r="D290" i="3"/>
  <c r="G290" i="3" s="1"/>
  <c r="G269" i="4"/>
  <c r="K18" i="1"/>
  <c r="D18" i="3"/>
  <c r="G18" i="3" s="1"/>
  <c r="K58" i="1"/>
  <c r="D58" i="3"/>
  <c r="G58" i="3" s="1"/>
  <c r="K74" i="1"/>
  <c r="D74" i="3"/>
  <c r="G74" i="3" s="1"/>
  <c r="K94" i="1"/>
  <c r="D94" i="3"/>
  <c r="G94" i="3" s="1"/>
  <c r="K110" i="1"/>
  <c r="D110" i="3"/>
  <c r="G110" i="3" s="1"/>
  <c r="E206" i="4"/>
  <c r="J83" i="1"/>
  <c r="E82" i="4"/>
  <c r="C83" i="3"/>
  <c r="F83" i="3" s="1"/>
  <c r="J23" i="1"/>
  <c r="E22" i="4"/>
  <c r="C23" i="3"/>
  <c r="F23" i="3" s="1"/>
  <c r="K247" i="1"/>
  <c r="D247" i="3"/>
  <c r="G247" i="3" s="1"/>
  <c r="J36" i="1"/>
  <c r="E35" i="4"/>
  <c r="C36" i="3"/>
  <c r="F36" i="3" s="1"/>
  <c r="J56" i="1"/>
  <c r="E55" i="4"/>
  <c r="C56" i="3"/>
  <c r="F56" i="3" s="1"/>
  <c r="J124" i="1"/>
  <c r="E123" i="4"/>
  <c r="C124" i="3"/>
  <c r="F124" i="3" s="1"/>
  <c r="K140" i="1"/>
  <c r="D140" i="3"/>
  <c r="G140" i="3" s="1"/>
  <c r="K156" i="1"/>
  <c r="D156" i="3"/>
  <c r="G156" i="3" s="1"/>
  <c r="K172" i="1"/>
  <c r="D172" i="3"/>
  <c r="G172" i="3" s="1"/>
  <c r="K204" i="1"/>
  <c r="D204" i="3"/>
  <c r="G204" i="3" s="1"/>
  <c r="K252" i="1"/>
  <c r="D252" i="3"/>
  <c r="G252" i="3" s="1"/>
  <c r="K268" i="1"/>
  <c r="D268" i="3"/>
  <c r="G268" i="3" s="1"/>
  <c r="J13" i="1"/>
  <c r="E12" i="4"/>
  <c r="C13" i="3"/>
  <c r="F13" i="3" s="1"/>
  <c r="J69" i="1"/>
  <c r="E68" i="4"/>
  <c r="C69" i="3"/>
  <c r="F69" i="3" s="1"/>
  <c r="J197" i="1"/>
  <c r="E196" i="4"/>
  <c r="C197" i="3"/>
  <c r="F197" i="3" s="1"/>
  <c r="J261" i="1"/>
  <c r="E260" i="4"/>
  <c r="C261" i="3"/>
  <c r="F261" i="3" s="1"/>
  <c r="J134" i="1"/>
  <c r="E133" i="4"/>
  <c r="C134" i="3"/>
  <c r="F134" i="3" s="1"/>
  <c r="J146" i="1"/>
  <c r="E145" i="4"/>
  <c r="C146" i="3"/>
  <c r="F146" i="3" s="1"/>
  <c r="J162" i="1"/>
  <c r="E161" i="4"/>
  <c r="C162" i="3"/>
  <c r="F162" i="3" s="1"/>
  <c r="J178" i="1"/>
  <c r="E177" i="4"/>
  <c r="C178" i="3"/>
  <c r="F178" i="3" s="1"/>
  <c r="J194" i="1"/>
  <c r="E193" i="4"/>
  <c r="C194" i="3"/>
  <c r="F194" i="3" s="1"/>
  <c r="J210" i="1"/>
  <c r="E209" i="4"/>
  <c r="C210" i="3"/>
  <c r="F210" i="3" s="1"/>
  <c r="J230" i="1"/>
  <c r="E229" i="4"/>
  <c r="C230" i="3"/>
  <c r="F230" i="3" s="1"/>
  <c r="J54" i="1"/>
  <c r="E53" i="4"/>
  <c r="C54" i="3"/>
  <c r="F54" i="3" s="1"/>
  <c r="J70" i="1"/>
  <c r="E69" i="4"/>
  <c r="C70" i="3"/>
  <c r="F70" i="3" s="1"/>
  <c r="K86" i="1"/>
  <c r="D86" i="3"/>
  <c r="G86" i="3" s="1"/>
  <c r="K134" i="1"/>
  <c r="D134" i="3"/>
  <c r="G134" i="3" s="1"/>
  <c r="K150" i="1"/>
  <c r="D150" i="3"/>
  <c r="G150" i="3" s="1"/>
  <c r="K166" i="1"/>
  <c r="D166" i="3"/>
  <c r="G166" i="3" s="1"/>
  <c r="K182" i="1"/>
  <c r="D182" i="3"/>
  <c r="G182" i="3" s="1"/>
  <c r="K198" i="1"/>
  <c r="D198" i="3"/>
  <c r="G198" i="3" s="1"/>
  <c r="K214" i="1"/>
  <c r="D214" i="3"/>
  <c r="G214" i="3" s="1"/>
  <c r="K230" i="1"/>
  <c r="D230" i="3"/>
  <c r="G230" i="3" s="1"/>
  <c r="K246" i="1"/>
  <c r="D246" i="3"/>
  <c r="G246" i="3" s="1"/>
  <c r="J26" i="1"/>
  <c r="E25" i="4"/>
  <c r="C26" i="3"/>
  <c r="F26" i="3" s="1"/>
  <c r="J79" i="1"/>
  <c r="E78" i="4"/>
  <c r="C79" i="3"/>
  <c r="F79" i="3" s="1"/>
  <c r="K151" i="1"/>
  <c r="D151" i="3"/>
  <c r="G151" i="3" s="1"/>
  <c r="K78" i="1"/>
  <c r="D78" i="3"/>
  <c r="G78" i="3" s="1"/>
  <c r="K130" i="1"/>
  <c r="D130" i="3"/>
  <c r="G130" i="3" s="1"/>
  <c r="J163" i="1"/>
  <c r="E162" i="4"/>
  <c r="C163" i="3"/>
  <c r="F163" i="3" s="1"/>
  <c r="J179" i="1"/>
  <c r="E178" i="4"/>
  <c r="C179" i="3"/>
  <c r="F179" i="3" s="1"/>
  <c r="J247" i="1"/>
  <c r="E246" i="4"/>
  <c r="C247" i="3"/>
  <c r="F247" i="3" s="1"/>
  <c r="E266" i="4"/>
  <c r="J283" i="1"/>
  <c r="E282" i="4"/>
  <c r="C283" i="3"/>
  <c r="F283" i="3" s="1"/>
  <c r="K11" i="1"/>
  <c r="D11" i="3"/>
  <c r="G11" i="3" s="1"/>
  <c r="K155" i="1"/>
  <c r="D155" i="3"/>
  <c r="G155" i="3" s="1"/>
  <c r="K287" i="1"/>
  <c r="D287" i="3"/>
  <c r="G287" i="3" s="1"/>
  <c r="J59" i="1"/>
  <c r="E58" i="4"/>
  <c r="C59" i="3"/>
  <c r="F59" i="3" s="1"/>
  <c r="K47" i="1"/>
  <c r="D47" i="3"/>
  <c r="G47" i="3" s="1"/>
  <c r="K67" i="1"/>
  <c r="D67" i="3"/>
  <c r="G67" i="3" s="1"/>
  <c r="K83" i="1"/>
  <c r="D83" i="3"/>
  <c r="G83" i="3" s="1"/>
  <c r="K119" i="1"/>
  <c r="D119" i="3"/>
  <c r="G119" i="3" s="1"/>
  <c r="J132" i="1"/>
  <c r="E131" i="4"/>
  <c r="C132" i="3"/>
  <c r="F132" i="3" s="1"/>
  <c r="J152" i="1"/>
  <c r="E151" i="4"/>
  <c r="C152" i="3"/>
  <c r="F152" i="3" s="1"/>
  <c r="J168" i="1"/>
  <c r="E167" i="4"/>
  <c r="C168" i="3"/>
  <c r="F168" i="3" s="1"/>
  <c r="J184" i="1"/>
  <c r="E183" i="4"/>
  <c r="C184" i="3"/>
  <c r="F184" i="3" s="1"/>
  <c r="J200" i="1"/>
  <c r="E199" i="4"/>
  <c r="C200" i="3"/>
  <c r="F200" i="3" s="1"/>
  <c r="J216" i="1"/>
  <c r="E215" i="4"/>
  <c r="C216" i="3"/>
  <c r="F216" i="3" s="1"/>
  <c r="J232" i="1"/>
  <c r="E231" i="4"/>
  <c r="C232" i="3"/>
  <c r="F232" i="3" s="1"/>
  <c r="J252" i="1"/>
  <c r="E251" i="4"/>
  <c r="C252" i="3"/>
  <c r="F252" i="3" s="1"/>
  <c r="J272" i="1"/>
  <c r="E271" i="4"/>
  <c r="C272" i="3"/>
  <c r="F272" i="3" s="1"/>
  <c r="J288" i="1"/>
  <c r="E287" i="4"/>
  <c r="C288" i="3"/>
  <c r="F288" i="3" s="1"/>
  <c r="K280" i="1"/>
  <c r="D280" i="3"/>
  <c r="G280" i="3" s="1"/>
  <c r="J21" i="1"/>
  <c r="E20" i="4"/>
  <c r="C21" i="3"/>
  <c r="F21" i="3" s="1"/>
  <c r="J97" i="1"/>
  <c r="E96" i="4"/>
  <c r="C97" i="3"/>
  <c r="F97" i="3" s="1"/>
  <c r="K161" i="1"/>
  <c r="D161" i="3"/>
  <c r="G161" i="3" s="1"/>
  <c r="K221" i="1"/>
  <c r="D221" i="3"/>
  <c r="G221" i="3" s="1"/>
  <c r="K285" i="1"/>
  <c r="D285" i="3"/>
  <c r="G285" i="3" s="1"/>
  <c r="J20" i="1"/>
  <c r="E19" i="4"/>
  <c r="C20" i="3"/>
  <c r="F20" i="3" s="1"/>
  <c r="J72" i="1"/>
  <c r="E71" i="4"/>
  <c r="C72" i="3"/>
  <c r="F72" i="3" s="1"/>
  <c r="J88" i="1"/>
  <c r="E87" i="4"/>
  <c r="C88" i="3"/>
  <c r="F88" i="3" s="1"/>
  <c r="J108" i="1"/>
  <c r="E107" i="4"/>
  <c r="C108" i="3"/>
  <c r="F108" i="3" s="1"/>
  <c r="J128" i="1"/>
  <c r="E127" i="4"/>
  <c r="C128" i="3"/>
  <c r="F128" i="3" s="1"/>
  <c r="K188" i="1"/>
  <c r="D188" i="3"/>
  <c r="G188" i="3" s="1"/>
  <c r="K220" i="1"/>
  <c r="D220" i="3"/>
  <c r="G220" i="3" s="1"/>
  <c r="K236" i="1"/>
  <c r="D236" i="3"/>
  <c r="G236" i="3" s="1"/>
  <c r="J57" i="1"/>
  <c r="E56" i="4"/>
  <c r="C57" i="3"/>
  <c r="F57" i="3" s="1"/>
  <c r="K153" i="1"/>
  <c r="D153" i="3"/>
  <c r="G153" i="3" s="1"/>
  <c r="K217" i="1"/>
  <c r="D217" i="3"/>
  <c r="G217" i="3" s="1"/>
  <c r="K281" i="1"/>
  <c r="D281" i="3"/>
  <c r="G281" i="3" s="1"/>
  <c r="K16" i="1"/>
  <c r="D16" i="3"/>
  <c r="G16" i="3" s="1"/>
  <c r="K36" i="1"/>
  <c r="D36" i="3"/>
  <c r="G36" i="3" s="1"/>
  <c r="K52" i="1"/>
  <c r="D52" i="3"/>
  <c r="G52" i="3" s="1"/>
  <c r="K68" i="1"/>
  <c r="D68" i="3"/>
  <c r="G68" i="3" s="1"/>
  <c r="K84" i="1"/>
  <c r="D84" i="3"/>
  <c r="G84" i="3" s="1"/>
  <c r="K100" i="1"/>
  <c r="D100" i="3"/>
  <c r="G100" i="3" s="1"/>
  <c r="K116" i="1"/>
  <c r="D116" i="3"/>
  <c r="G116" i="3" s="1"/>
  <c r="J133" i="1"/>
  <c r="E132" i="4"/>
  <c r="C133" i="3"/>
  <c r="F133" i="3" s="1"/>
  <c r="J153" i="1"/>
  <c r="E152" i="4"/>
  <c r="C153" i="3"/>
  <c r="F153" i="3" s="1"/>
  <c r="J169" i="1"/>
  <c r="E168" i="4"/>
  <c r="C169" i="3"/>
  <c r="F169" i="3" s="1"/>
  <c r="J137" i="1"/>
  <c r="E136" i="4"/>
  <c r="C137" i="3"/>
  <c r="F137" i="3" s="1"/>
  <c r="J217" i="1"/>
  <c r="E216" i="4"/>
  <c r="C217" i="3"/>
  <c r="F217" i="3" s="1"/>
  <c r="J233" i="1"/>
  <c r="E232" i="4"/>
  <c r="C233" i="3"/>
  <c r="F233" i="3" s="1"/>
  <c r="J249" i="1"/>
  <c r="E248" i="4"/>
  <c r="C249" i="3"/>
  <c r="F249" i="3" s="1"/>
  <c r="J277" i="1"/>
  <c r="E276" i="4"/>
  <c r="C277" i="3"/>
  <c r="F277" i="3" s="1"/>
  <c r="K13" i="1"/>
  <c r="D13" i="3"/>
  <c r="G13" i="3" s="1"/>
  <c r="J61" i="1"/>
  <c r="E60" i="4"/>
  <c r="C61" i="3"/>
  <c r="F61" i="3" s="1"/>
  <c r="J121" i="1"/>
  <c r="E120" i="4"/>
  <c r="C121" i="3"/>
  <c r="F121" i="3" s="1"/>
  <c r="K181" i="1"/>
  <c r="D181" i="3"/>
  <c r="G181" i="3" s="1"/>
  <c r="K245" i="1"/>
  <c r="D245" i="3"/>
  <c r="G245" i="3" s="1"/>
  <c r="K259" i="1"/>
  <c r="D259" i="3"/>
  <c r="G259" i="3" s="1"/>
  <c r="J33" i="1"/>
  <c r="E32" i="4"/>
  <c r="C33" i="3"/>
  <c r="F33" i="3" s="1"/>
  <c r="J109" i="1"/>
  <c r="E108" i="4"/>
  <c r="C109" i="3"/>
  <c r="F109" i="3" s="1"/>
  <c r="K173" i="1"/>
  <c r="D173" i="3"/>
  <c r="G173" i="3" s="1"/>
  <c r="K241" i="1"/>
  <c r="D241" i="3"/>
  <c r="G241" i="3" s="1"/>
  <c r="K33" i="1"/>
  <c r="D33" i="3"/>
  <c r="G33" i="3" s="1"/>
  <c r="K53" i="1"/>
  <c r="D53" i="3"/>
  <c r="G53" i="3" s="1"/>
  <c r="K69" i="1"/>
  <c r="D69" i="3"/>
  <c r="G69" i="3" s="1"/>
  <c r="K85" i="1"/>
  <c r="D85" i="3"/>
  <c r="G85" i="3" s="1"/>
  <c r="K101" i="1"/>
  <c r="D101" i="3"/>
  <c r="G101" i="3" s="1"/>
  <c r="K117" i="1"/>
  <c r="D117" i="3"/>
  <c r="G117" i="3" s="1"/>
  <c r="J246" i="1"/>
  <c r="E245" i="4"/>
  <c r="C246" i="3"/>
  <c r="F246" i="3" s="1"/>
  <c r="J266" i="1"/>
  <c r="E265" i="4"/>
  <c r="C266" i="3"/>
  <c r="F266" i="3" s="1"/>
  <c r="J282" i="1"/>
  <c r="E281" i="4"/>
  <c r="C282" i="3"/>
  <c r="F282" i="3" s="1"/>
  <c r="K10" i="1"/>
  <c r="D10" i="3"/>
  <c r="G10" i="3" s="1"/>
  <c r="J127" i="1"/>
  <c r="E126" i="4"/>
  <c r="C127" i="3"/>
  <c r="F127" i="3" s="1"/>
  <c r="K211" i="1"/>
  <c r="D211" i="3"/>
  <c r="G211" i="3" s="1"/>
  <c r="J18" i="1"/>
  <c r="E17" i="4"/>
  <c r="C18" i="3"/>
  <c r="F18" i="3" s="1"/>
  <c r="J74" i="1"/>
  <c r="E73" i="4"/>
  <c r="C74" i="3"/>
  <c r="F74" i="3" s="1"/>
  <c r="J106" i="1"/>
  <c r="E105" i="4"/>
  <c r="C106" i="3"/>
  <c r="F106" i="3" s="1"/>
  <c r="J122" i="1"/>
  <c r="E121" i="4"/>
  <c r="C122" i="3"/>
  <c r="F122" i="3" s="1"/>
  <c r="K262" i="1"/>
  <c r="D262" i="3"/>
  <c r="G262" i="3" s="1"/>
  <c r="K278" i="1"/>
  <c r="D278" i="3"/>
  <c r="G278" i="3" s="1"/>
  <c r="J7" i="1"/>
  <c r="E6" i="4"/>
  <c r="C7" i="3"/>
  <c r="F7" i="3" s="1"/>
  <c r="E218" i="4"/>
  <c r="C219" i="3"/>
  <c r="F219" i="3" s="1"/>
  <c r="G280" i="4"/>
  <c r="G264" i="4"/>
  <c r="G256" i="4"/>
  <c r="G240" i="4"/>
  <c r="G232" i="4"/>
  <c r="G224" i="4"/>
  <c r="G216" i="4"/>
  <c r="G208" i="4"/>
  <c r="G200" i="4"/>
  <c r="G192" i="4"/>
  <c r="G184" i="4"/>
  <c r="G176" i="4"/>
  <c r="G168" i="4"/>
  <c r="G160" i="4"/>
  <c r="G152" i="4"/>
  <c r="G144" i="4"/>
  <c r="G136" i="4"/>
  <c r="G128" i="4"/>
  <c r="G120" i="4"/>
  <c r="G112" i="4"/>
  <c r="G104" i="4"/>
  <c r="G96" i="4"/>
  <c r="G88" i="4"/>
  <c r="G80" i="4"/>
  <c r="G72" i="4"/>
  <c r="G64" i="4"/>
  <c r="G56" i="4"/>
  <c r="G48" i="4"/>
  <c r="G40" i="4"/>
  <c r="G32" i="4"/>
  <c r="G24" i="4"/>
  <c r="G16" i="4"/>
  <c r="G8" i="4"/>
  <c r="K26" i="1"/>
  <c r="D26" i="3"/>
  <c r="G26" i="3" s="1"/>
  <c r="K42" i="1"/>
  <c r="D42" i="3"/>
  <c r="G42" i="3" s="1"/>
  <c r="K62" i="1"/>
  <c r="D62" i="3"/>
  <c r="G62" i="3" s="1"/>
  <c r="K98" i="1"/>
  <c r="D98" i="3"/>
  <c r="G98" i="3" s="1"/>
  <c r="J211" i="1"/>
  <c r="E210" i="4"/>
  <c r="C211" i="3"/>
  <c r="F211" i="3" s="1"/>
  <c r="J235" i="1"/>
  <c r="E234" i="4"/>
  <c r="C235" i="3"/>
  <c r="F235" i="3" s="1"/>
  <c r="J94" i="1"/>
  <c r="E93" i="4"/>
  <c r="C94" i="3"/>
  <c r="F94" i="3" s="1"/>
  <c r="J35" i="1"/>
  <c r="E34" i="4"/>
  <c r="C35" i="3"/>
  <c r="F35" i="3" s="1"/>
  <c r="J55" i="1"/>
  <c r="E54" i="4"/>
  <c r="C55" i="3"/>
  <c r="F55" i="3" s="1"/>
  <c r="J115" i="1"/>
  <c r="E114" i="4"/>
  <c r="C115" i="3"/>
  <c r="F115" i="3" s="1"/>
  <c r="K199" i="1"/>
  <c r="D199" i="3"/>
  <c r="G199" i="3" s="1"/>
  <c r="K271" i="1"/>
  <c r="D271" i="3"/>
  <c r="G271" i="3" s="1"/>
  <c r="K31" i="1"/>
  <c r="D31" i="3"/>
  <c r="G31" i="3" s="1"/>
  <c r="J119" i="1"/>
  <c r="E118" i="4"/>
  <c r="C119" i="3"/>
  <c r="F119" i="3" s="1"/>
  <c r="K20" i="1"/>
  <c r="D20" i="3"/>
  <c r="G20" i="3" s="1"/>
  <c r="J40" i="1"/>
  <c r="E39" i="4"/>
  <c r="C40" i="3"/>
  <c r="F40" i="3" s="1"/>
  <c r="J60" i="1"/>
  <c r="E59" i="4"/>
  <c r="C60" i="3"/>
  <c r="F60" i="3" s="1"/>
  <c r="J116" i="1"/>
  <c r="E115" i="4"/>
  <c r="C116" i="3"/>
  <c r="F116" i="3" s="1"/>
  <c r="K144" i="1"/>
  <c r="D144" i="3"/>
  <c r="G144" i="3" s="1"/>
  <c r="K160" i="1"/>
  <c r="D160" i="3"/>
  <c r="G160" i="3" s="1"/>
  <c r="K256" i="1"/>
  <c r="D256" i="3"/>
  <c r="G256" i="3" s="1"/>
  <c r="K276" i="1"/>
  <c r="D276" i="3"/>
  <c r="G276" i="3" s="1"/>
  <c r="K9" i="1"/>
  <c r="D9" i="3"/>
  <c r="G9" i="3" s="1"/>
  <c r="J185" i="1"/>
  <c r="E184" i="4"/>
  <c r="C185" i="3"/>
  <c r="F185" i="3" s="1"/>
  <c r="K248" i="1"/>
  <c r="D248" i="3"/>
  <c r="G248" i="3" s="1"/>
  <c r="J265" i="1"/>
  <c r="E264" i="4"/>
  <c r="C265" i="3"/>
  <c r="F265" i="3" s="1"/>
  <c r="J281" i="1"/>
  <c r="E280" i="4"/>
  <c r="C281" i="3"/>
  <c r="F281" i="3" s="1"/>
  <c r="K21" i="1"/>
  <c r="D21" i="3"/>
  <c r="G21" i="3" s="1"/>
  <c r="K37" i="1"/>
  <c r="D37" i="3"/>
  <c r="G37" i="3" s="1"/>
  <c r="K57" i="1"/>
  <c r="D57" i="3"/>
  <c r="G57" i="3" s="1"/>
  <c r="K105" i="1"/>
  <c r="D105" i="3"/>
  <c r="G105" i="3" s="1"/>
  <c r="K121" i="1"/>
  <c r="D121" i="3"/>
  <c r="G121" i="3" s="1"/>
  <c r="J150" i="1"/>
  <c r="E149" i="4"/>
  <c r="C150" i="3"/>
  <c r="F150" i="3" s="1"/>
  <c r="J166" i="1"/>
  <c r="E165" i="4"/>
  <c r="C166" i="3"/>
  <c r="F166" i="3" s="1"/>
  <c r="J182" i="1"/>
  <c r="E181" i="4"/>
  <c r="C182" i="3"/>
  <c r="F182" i="3" s="1"/>
  <c r="J198" i="1"/>
  <c r="E197" i="4"/>
  <c r="C198" i="3"/>
  <c r="F198" i="3" s="1"/>
  <c r="J214" i="1"/>
  <c r="E213" i="4"/>
  <c r="C214" i="3"/>
  <c r="F214" i="3" s="1"/>
  <c r="J234" i="1"/>
  <c r="E233" i="4"/>
  <c r="C234" i="3"/>
  <c r="F234" i="3" s="1"/>
  <c r="K14" i="1"/>
  <c r="D14" i="3"/>
  <c r="G14" i="3" s="1"/>
  <c r="J38" i="1"/>
  <c r="E37" i="4"/>
  <c r="C38" i="3"/>
  <c r="F38" i="3" s="1"/>
  <c r="J58" i="1"/>
  <c r="E57" i="4"/>
  <c r="C58" i="3"/>
  <c r="F58" i="3" s="1"/>
  <c r="J62" i="1"/>
  <c r="E61" i="4"/>
  <c r="C62" i="3"/>
  <c r="F62" i="3" s="1"/>
  <c r="J110" i="1"/>
  <c r="E109" i="4"/>
  <c r="C110" i="3"/>
  <c r="F110" i="3" s="1"/>
  <c r="K138" i="1"/>
  <c r="D138" i="3"/>
  <c r="G138" i="3" s="1"/>
  <c r="K154" i="1"/>
  <c r="D154" i="3"/>
  <c r="G154" i="3" s="1"/>
  <c r="K170" i="1"/>
  <c r="D170" i="3"/>
  <c r="G170" i="3" s="1"/>
  <c r="K186" i="1"/>
  <c r="D186" i="3"/>
  <c r="G186" i="3" s="1"/>
  <c r="K202" i="1"/>
  <c r="D202" i="3"/>
  <c r="G202" i="3" s="1"/>
  <c r="K218" i="1"/>
  <c r="D218" i="3"/>
  <c r="G218" i="3" s="1"/>
  <c r="K234" i="1"/>
  <c r="D234" i="3"/>
  <c r="G234" i="3" s="1"/>
  <c r="K250" i="1"/>
  <c r="D250" i="3"/>
  <c r="G250" i="3" s="1"/>
  <c r="J11" i="1"/>
  <c r="E10" i="4"/>
  <c r="C11" i="3"/>
  <c r="F11" i="3" s="1"/>
  <c r="J91" i="1"/>
  <c r="E90" i="4"/>
  <c r="C91" i="3"/>
  <c r="F91" i="3" s="1"/>
  <c r="K235" i="1"/>
  <c r="D235" i="3"/>
  <c r="G235" i="3" s="1"/>
  <c r="E254" i="4"/>
  <c r="C255" i="3"/>
  <c r="F255" i="3" s="1"/>
  <c r="G288" i="4"/>
  <c r="G272" i="4"/>
  <c r="G248" i="4"/>
  <c r="K114" i="1"/>
  <c r="D114" i="3"/>
  <c r="G114" i="3" s="1"/>
  <c r="E134" i="4"/>
  <c r="C135" i="3"/>
  <c r="F135" i="3" s="1"/>
  <c r="J151" i="1"/>
  <c r="E150" i="4"/>
  <c r="C151" i="3"/>
  <c r="F151" i="3" s="1"/>
  <c r="J167" i="1"/>
  <c r="E166" i="4"/>
  <c r="C167" i="3"/>
  <c r="F167" i="3" s="1"/>
  <c r="J199" i="1"/>
  <c r="E198" i="4"/>
  <c r="C199" i="3"/>
  <c r="F199" i="3" s="1"/>
  <c r="J251" i="1"/>
  <c r="E250" i="4"/>
  <c r="C251" i="3"/>
  <c r="F251" i="3" s="1"/>
  <c r="J271" i="1"/>
  <c r="E270" i="4"/>
  <c r="C271" i="3"/>
  <c r="F271" i="3" s="1"/>
  <c r="J287" i="1"/>
  <c r="E286" i="4"/>
  <c r="C287" i="3"/>
  <c r="F287" i="3" s="1"/>
  <c r="J31" i="1"/>
  <c r="E30" i="4"/>
  <c r="C31" i="3"/>
  <c r="F31" i="3" s="1"/>
  <c r="J95" i="1"/>
  <c r="E94" i="4"/>
  <c r="C95" i="3"/>
  <c r="F95" i="3" s="1"/>
  <c r="K167" i="1"/>
  <c r="D167" i="3"/>
  <c r="G167" i="3" s="1"/>
  <c r="K223" i="1"/>
  <c r="D223" i="3"/>
  <c r="G223" i="3" s="1"/>
  <c r="E14" i="4"/>
  <c r="C15" i="3"/>
  <c r="F15" i="3" s="1"/>
  <c r="K55" i="1"/>
  <c r="D55" i="3"/>
  <c r="G55" i="3" s="1"/>
  <c r="K71" i="1"/>
  <c r="D71" i="3"/>
  <c r="G71" i="3" s="1"/>
  <c r="K103" i="1"/>
  <c r="D103" i="3"/>
  <c r="G103" i="3" s="1"/>
  <c r="J136" i="1"/>
  <c r="E135" i="4"/>
  <c r="C136" i="3"/>
  <c r="F136" i="3" s="1"/>
  <c r="J156" i="1"/>
  <c r="E155" i="4"/>
  <c r="C156" i="3"/>
  <c r="F156" i="3" s="1"/>
  <c r="J172" i="1"/>
  <c r="E171" i="4"/>
  <c r="C172" i="3"/>
  <c r="F172" i="3" s="1"/>
  <c r="J188" i="1"/>
  <c r="E187" i="4"/>
  <c r="C188" i="3"/>
  <c r="F188" i="3" s="1"/>
  <c r="J204" i="1"/>
  <c r="E203" i="4"/>
  <c r="C204" i="3"/>
  <c r="F204" i="3" s="1"/>
  <c r="J220" i="1"/>
  <c r="E219" i="4"/>
  <c r="C220" i="3"/>
  <c r="F220" i="3" s="1"/>
  <c r="J236" i="1"/>
  <c r="E235" i="4"/>
  <c r="C236" i="3"/>
  <c r="F236" i="3" s="1"/>
  <c r="J256" i="1"/>
  <c r="E255" i="4"/>
  <c r="C256" i="3"/>
  <c r="F256" i="3" s="1"/>
  <c r="J276" i="1"/>
  <c r="E275" i="4"/>
  <c r="C276" i="3"/>
  <c r="F276" i="3" s="1"/>
  <c r="K8" i="1"/>
  <c r="D8" i="3"/>
  <c r="G8" i="3" s="1"/>
  <c r="K288" i="1"/>
  <c r="D288" i="3"/>
  <c r="G288" i="3" s="1"/>
  <c r="J49" i="1"/>
  <c r="E48" i="4"/>
  <c r="C49" i="3"/>
  <c r="F49" i="3" s="1"/>
  <c r="J113" i="1"/>
  <c r="E112" i="4"/>
  <c r="C113" i="3"/>
  <c r="F113" i="3" s="1"/>
  <c r="K177" i="1"/>
  <c r="D177" i="3"/>
  <c r="G177" i="3" s="1"/>
  <c r="K237" i="1"/>
  <c r="D237" i="3"/>
  <c r="G237" i="3" s="1"/>
  <c r="J14" i="1"/>
  <c r="E13" i="4"/>
  <c r="C14" i="3"/>
  <c r="F14" i="3" s="1"/>
  <c r="J76" i="1"/>
  <c r="E75" i="4"/>
  <c r="C76" i="3"/>
  <c r="F76" i="3" s="1"/>
  <c r="J92" i="1"/>
  <c r="E91" i="4"/>
  <c r="C92" i="3"/>
  <c r="F92" i="3" s="1"/>
  <c r="J112" i="1"/>
  <c r="E111" i="4"/>
  <c r="C112" i="3"/>
  <c r="F112" i="3" s="1"/>
  <c r="K176" i="1"/>
  <c r="D176" i="3"/>
  <c r="G176" i="3" s="1"/>
  <c r="K192" i="1"/>
  <c r="D192" i="3"/>
  <c r="G192" i="3" s="1"/>
  <c r="K208" i="1"/>
  <c r="D208" i="3"/>
  <c r="G208" i="3" s="1"/>
  <c r="K224" i="1"/>
  <c r="D224" i="3"/>
  <c r="G224" i="3" s="1"/>
  <c r="K240" i="1"/>
  <c r="D240" i="3"/>
  <c r="G240" i="3" s="1"/>
  <c r="J85" i="1"/>
  <c r="E84" i="4"/>
  <c r="C85" i="3"/>
  <c r="F85" i="3" s="1"/>
  <c r="K169" i="1"/>
  <c r="D169" i="3"/>
  <c r="G169" i="3" s="1"/>
  <c r="K233" i="1"/>
  <c r="D233" i="3"/>
  <c r="G233" i="3" s="1"/>
  <c r="J10" i="1"/>
  <c r="E9" i="4"/>
  <c r="C10" i="3"/>
  <c r="F10" i="3" s="1"/>
  <c r="K24" i="1"/>
  <c r="D24" i="3"/>
  <c r="G24" i="3" s="1"/>
  <c r="K40" i="1"/>
  <c r="D40" i="3"/>
  <c r="G40" i="3" s="1"/>
  <c r="K56" i="1"/>
  <c r="D56" i="3"/>
  <c r="G56" i="3" s="1"/>
  <c r="K72" i="1"/>
  <c r="D72" i="3"/>
  <c r="G72" i="3" s="1"/>
  <c r="K88" i="1"/>
  <c r="D88" i="3"/>
  <c r="G88" i="3" s="1"/>
  <c r="K104" i="1"/>
  <c r="D104" i="3"/>
  <c r="G104" i="3" s="1"/>
  <c r="K120" i="1"/>
  <c r="D120" i="3"/>
  <c r="G120" i="3" s="1"/>
  <c r="J141" i="1"/>
  <c r="E140" i="4"/>
  <c r="C141" i="3"/>
  <c r="F141" i="3" s="1"/>
  <c r="J157" i="1"/>
  <c r="E156" i="4"/>
  <c r="C157" i="3"/>
  <c r="F157" i="3" s="1"/>
  <c r="J173" i="1"/>
  <c r="E172" i="4"/>
  <c r="C173" i="3"/>
  <c r="F173" i="3" s="1"/>
  <c r="J201" i="1"/>
  <c r="E200" i="4"/>
  <c r="C201" i="3"/>
  <c r="F201" i="3" s="1"/>
  <c r="J221" i="1"/>
  <c r="E220" i="4"/>
  <c r="C221" i="3"/>
  <c r="F221" i="3" s="1"/>
  <c r="J237" i="1"/>
  <c r="E236" i="4"/>
  <c r="C237" i="3"/>
  <c r="F237" i="3" s="1"/>
  <c r="J264" i="1"/>
  <c r="E263" i="4"/>
  <c r="C264" i="3"/>
  <c r="F264" i="3" s="1"/>
  <c r="J29" i="1"/>
  <c r="E28" i="4"/>
  <c r="C29" i="3"/>
  <c r="F29" i="3" s="1"/>
  <c r="J73" i="1"/>
  <c r="E72" i="4"/>
  <c r="C73" i="3"/>
  <c r="F73" i="3" s="1"/>
  <c r="K133" i="1"/>
  <c r="D133" i="3"/>
  <c r="G133" i="3" s="1"/>
  <c r="K197" i="1"/>
  <c r="D197" i="3"/>
  <c r="G197" i="3" s="1"/>
  <c r="K261" i="1"/>
  <c r="D261" i="3"/>
  <c r="G261" i="3" s="1"/>
  <c r="J4" i="1"/>
  <c r="E3" i="4"/>
  <c r="C4" i="3"/>
  <c r="F4" i="3" s="1"/>
  <c r="J41" i="1"/>
  <c r="E40" i="4"/>
  <c r="C41" i="3"/>
  <c r="F41" i="3" s="1"/>
  <c r="J125" i="1"/>
  <c r="E124" i="4"/>
  <c r="C125" i="3"/>
  <c r="F125" i="3" s="1"/>
  <c r="K193" i="1"/>
  <c r="D193" i="3"/>
  <c r="G193" i="3" s="1"/>
  <c r="K257" i="1"/>
  <c r="D257" i="3"/>
  <c r="G257" i="3" s="1"/>
  <c r="K73" i="1"/>
  <c r="D73" i="3"/>
  <c r="G73" i="3" s="1"/>
  <c r="K89" i="1"/>
  <c r="D89" i="3"/>
  <c r="G89" i="3" s="1"/>
  <c r="J138" i="1"/>
  <c r="E137" i="4"/>
  <c r="C138" i="3"/>
  <c r="F138" i="3" s="1"/>
  <c r="J250" i="1"/>
  <c r="E249" i="4"/>
  <c r="C250" i="3"/>
  <c r="F250" i="3" s="1"/>
  <c r="J270" i="1"/>
  <c r="E269" i="4"/>
  <c r="C270" i="3"/>
  <c r="F270" i="3" s="1"/>
  <c r="J286" i="1"/>
  <c r="E285" i="4"/>
  <c r="C286" i="3"/>
  <c r="F286" i="3" s="1"/>
  <c r="K143" i="1"/>
  <c r="D143" i="3"/>
  <c r="G143" i="3" s="1"/>
  <c r="K227" i="1"/>
  <c r="D227" i="3"/>
  <c r="G227" i="3" s="1"/>
  <c r="K22" i="1"/>
  <c r="D22" i="3"/>
  <c r="G22" i="3" s="1"/>
  <c r="J90" i="1"/>
  <c r="E89" i="4"/>
  <c r="C90" i="3"/>
  <c r="F90" i="3" s="1"/>
  <c r="J98" i="1"/>
  <c r="E97" i="4"/>
  <c r="C98" i="3"/>
  <c r="F98" i="3" s="1"/>
  <c r="K142" i="1"/>
  <c r="D142" i="3"/>
  <c r="G142" i="3" s="1"/>
  <c r="K266" i="1"/>
  <c r="D266" i="3"/>
  <c r="G266" i="3" s="1"/>
  <c r="K282" i="1"/>
  <c r="D282" i="3"/>
  <c r="G282" i="3" s="1"/>
  <c r="K30" i="1"/>
  <c r="D30" i="3"/>
  <c r="G30" i="3" s="1"/>
  <c r="K46" i="1"/>
  <c r="D46" i="3"/>
  <c r="G46" i="3" s="1"/>
  <c r="K66" i="1"/>
  <c r="D66" i="3"/>
  <c r="G66" i="3" s="1"/>
  <c r="K82" i="1"/>
  <c r="D82" i="3"/>
  <c r="G82" i="3" s="1"/>
  <c r="K102" i="1"/>
  <c r="D102" i="3"/>
  <c r="G102" i="3" s="1"/>
  <c r="J223" i="1"/>
  <c r="E222" i="4"/>
  <c r="C223" i="3"/>
  <c r="F223" i="3" s="1"/>
  <c r="J215" i="1"/>
  <c r="E214" i="4"/>
  <c r="C215" i="3"/>
  <c r="F215" i="3" s="1"/>
  <c r="J32" i="1"/>
  <c r="E31" i="4"/>
  <c r="C32" i="3"/>
  <c r="F32" i="3" s="1"/>
  <c r="J71" i="1"/>
  <c r="E70" i="4"/>
  <c r="C71" i="3"/>
  <c r="F71" i="3" s="1"/>
  <c r="K131" i="1"/>
  <c r="D131" i="3"/>
  <c r="G131" i="3" s="1"/>
  <c r="K215" i="1"/>
  <c r="D215" i="3"/>
  <c r="G215" i="3" s="1"/>
  <c r="K35" i="1"/>
  <c r="D35" i="3"/>
  <c r="G35" i="3" s="1"/>
  <c r="J117" i="1"/>
  <c r="E116" i="4"/>
  <c r="C117" i="3"/>
  <c r="F117" i="3" s="1"/>
  <c r="J24" i="1"/>
  <c r="E23" i="4"/>
  <c r="C24" i="3"/>
  <c r="F24" i="3" s="1"/>
  <c r="J44" i="1"/>
  <c r="E43" i="4"/>
  <c r="C44" i="3"/>
  <c r="F44" i="3" s="1"/>
  <c r="J52" i="1"/>
  <c r="E51" i="4"/>
  <c r="C52" i="3"/>
  <c r="F52" i="3" s="1"/>
  <c r="J96" i="1"/>
  <c r="E95" i="4"/>
  <c r="C96" i="3"/>
  <c r="F96" i="3" s="1"/>
  <c r="K132" i="1"/>
  <c r="D132" i="3"/>
  <c r="G132" i="3" s="1"/>
  <c r="K148" i="1"/>
  <c r="D148" i="3"/>
  <c r="G148" i="3" s="1"/>
  <c r="K164" i="1"/>
  <c r="D164" i="3"/>
  <c r="G164" i="3" s="1"/>
  <c r="K180" i="1"/>
  <c r="D180" i="3"/>
  <c r="G180" i="3" s="1"/>
  <c r="K260" i="1"/>
  <c r="D260" i="3"/>
  <c r="G260" i="3" s="1"/>
  <c r="K284" i="1"/>
  <c r="D284" i="3"/>
  <c r="G284" i="3" s="1"/>
  <c r="J25" i="1"/>
  <c r="E24" i="4"/>
  <c r="C25" i="3"/>
  <c r="F25" i="3" s="1"/>
  <c r="J253" i="1"/>
  <c r="E252" i="4"/>
  <c r="C253" i="3"/>
  <c r="F253" i="3" s="1"/>
  <c r="K4" i="1"/>
  <c r="D4" i="3"/>
  <c r="G4" i="3" s="1"/>
  <c r="K141" i="1"/>
  <c r="D141" i="3"/>
  <c r="G141" i="3" s="1"/>
  <c r="K93" i="1"/>
  <c r="D93" i="3"/>
  <c r="G93" i="3" s="1"/>
  <c r="K109" i="1"/>
  <c r="D109" i="3"/>
  <c r="G109" i="3" s="1"/>
  <c r="J154" i="1"/>
  <c r="E153" i="4"/>
  <c r="C154" i="3"/>
  <c r="F154" i="3" s="1"/>
  <c r="J170" i="1"/>
  <c r="E169" i="4"/>
  <c r="C170" i="3"/>
  <c r="F170" i="3" s="1"/>
  <c r="J186" i="1"/>
  <c r="E185" i="4"/>
  <c r="C186" i="3"/>
  <c r="F186" i="3" s="1"/>
  <c r="J202" i="1"/>
  <c r="E201" i="4"/>
  <c r="C202" i="3"/>
  <c r="F202" i="3" s="1"/>
  <c r="J222" i="1"/>
  <c r="E221" i="4"/>
  <c r="C222" i="3"/>
  <c r="F222" i="3" s="1"/>
  <c r="J238" i="1"/>
  <c r="E237" i="4"/>
  <c r="C238" i="3"/>
  <c r="F238" i="3" s="1"/>
  <c r="J22" i="1"/>
  <c r="E21" i="4"/>
  <c r="C22" i="3"/>
  <c r="F22" i="3" s="1"/>
  <c r="J42" i="1"/>
  <c r="E41" i="4"/>
  <c r="C42" i="3"/>
  <c r="F42" i="3" s="1"/>
  <c r="J50" i="1"/>
  <c r="E49" i="4"/>
  <c r="C50" i="3"/>
  <c r="F50" i="3" s="1"/>
  <c r="J78" i="1"/>
  <c r="E77" i="4"/>
  <c r="C78" i="3"/>
  <c r="F78" i="3" s="1"/>
  <c r="J126" i="1"/>
  <c r="E125" i="4"/>
  <c r="C126" i="3"/>
  <c r="F126" i="3" s="1"/>
  <c r="K158" i="1"/>
  <c r="D158" i="3"/>
  <c r="G158" i="3" s="1"/>
  <c r="K174" i="1"/>
  <c r="D174" i="3"/>
  <c r="G174" i="3" s="1"/>
  <c r="K190" i="1"/>
  <c r="D190" i="3"/>
  <c r="G190" i="3" s="1"/>
  <c r="K206" i="1"/>
  <c r="D206" i="3"/>
  <c r="G206" i="3" s="1"/>
  <c r="K222" i="1"/>
  <c r="D222" i="3"/>
  <c r="G222" i="3" s="1"/>
  <c r="K238" i="1"/>
  <c r="D238" i="3"/>
  <c r="G238" i="3" s="1"/>
  <c r="K254" i="1"/>
  <c r="D254" i="3"/>
  <c r="G254" i="3" s="1"/>
  <c r="J12" i="1"/>
  <c r="E11" i="4"/>
  <c r="C12" i="3"/>
  <c r="F12" i="3" s="1"/>
  <c r="J103" i="1"/>
  <c r="E102" i="4"/>
  <c r="C103" i="3"/>
  <c r="F103" i="3" s="1"/>
  <c r="K187" i="1"/>
  <c r="D187" i="3"/>
  <c r="G187" i="3" s="1"/>
  <c r="K251" i="1"/>
  <c r="D251" i="3"/>
  <c r="G251" i="3" s="1"/>
  <c r="E74" i="4"/>
  <c r="C75" i="3"/>
  <c r="F75" i="3" s="1"/>
  <c r="G260" i="4"/>
  <c r="G212" i="4"/>
  <c r="G148" i="4"/>
  <c r="G100" i="4"/>
  <c r="G52" i="4"/>
  <c r="G259" i="4"/>
  <c r="G211" i="4"/>
  <c r="G163" i="4"/>
  <c r="G115" i="4"/>
  <c r="G67" i="4"/>
  <c r="G19" i="4"/>
  <c r="G287" i="4"/>
  <c r="G239" i="4"/>
  <c r="G191" i="4"/>
  <c r="G127" i="4"/>
  <c r="G15" i="4"/>
  <c r="G255" i="4"/>
  <c r="G207" i="4"/>
  <c r="G159" i="4"/>
  <c r="G111" i="4"/>
  <c r="G79" i="4"/>
  <c r="G47" i="4"/>
  <c r="G286" i="4"/>
  <c r="G270" i="4"/>
  <c r="G254" i="4"/>
  <c r="G238" i="4"/>
  <c r="G222" i="4"/>
  <c r="G206" i="4"/>
  <c r="G190" i="4"/>
  <c r="G174" i="4"/>
  <c r="G158" i="4"/>
  <c r="G142" i="4"/>
  <c r="G126" i="4"/>
  <c r="G110" i="4"/>
  <c r="G94" i="4"/>
  <c r="G78" i="4"/>
  <c r="G62" i="4"/>
  <c r="G46" i="4"/>
  <c r="G30" i="4"/>
  <c r="G14" i="4"/>
  <c r="G271" i="4"/>
  <c r="G223" i="4"/>
  <c r="G175" i="4"/>
  <c r="G143" i="4"/>
  <c r="G95" i="4"/>
  <c r="G63" i="4"/>
  <c r="G31" i="4"/>
  <c r="G45" i="4"/>
  <c r="G283" i="4"/>
  <c r="G235" i="4"/>
  <c r="G203" i="4"/>
  <c r="G155" i="4"/>
  <c r="G123" i="4"/>
  <c r="G91" i="4"/>
  <c r="G27" i="4"/>
  <c r="G267" i="4"/>
  <c r="G219" i="4"/>
  <c r="G187" i="4"/>
  <c r="G171" i="4"/>
  <c r="G139" i="4"/>
  <c r="G107" i="4"/>
  <c r="G75" i="4"/>
  <c r="G59" i="4"/>
  <c r="G43" i="4"/>
  <c r="G11" i="4"/>
  <c r="G282" i="4"/>
  <c r="G266" i="4"/>
  <c r="G250" i="4"/>
  <c r="G234" i="4"/>
  <c r="G218" i="4"/>
  <c r="G202" i="4"/>
  <c r="G186" i="4"/>
  <c r="G170" i="4"/>
  <c r="G154" i="4"/>
  <c r="G138" i="4"/>
  <c r="G122" i="4"/>
  <c r="G106" i="4"/>
  <c r="G90" i="4"/>
  <c r="G74" i="4"/>
  <c r="G58" i="4"/>
  <c r="G42" i="4"/>
  <c r="G26" i="4"/>
  <c r="G10" i="4"/>
  <c r="G251" i="4"/>
  <c r="G279" i="4"/>
  <c r="G231" i="4"/>
  <c r="G183" i="4"/>
  <c r="G151" i="4"/>
  <c r="G103" i="4"/>
  <c r="G23" i="4"/>
  <c r="G263" i="4"/>
  <c r="G247" i="4"/>
  <c r="G215" i="4"/>
  <c r="G199" i="4"/>
  <c r="G167" i="4"/>
  <c r="G135" i="4"/>
  <c r="G119" i="4"/>
  <c r="G87" i="4"/>
  <c r="G71" i="4"/>
  <c r="G55" i="4"/>
  <c r="G39" i="4"/>
  <c r="G7" i="4"/>
  <c r="G278" i="4"/>
  <c r="G262" i="4"/>
  <c r="G246" i="4"/>
  <c r="G230" i="4"/>
  <c r="G214" i="4"/>
  <c r="G198" i="4"/>
  <c r="G182" i="4"/>
  <c r="G166" i="4"/>
  <c r="G150" i="4"/>
  <c r="G134" i="4"/>
  <c r="G118" i="4"/>
  <c r="G102" i="4"/>
  <c r="G86" i="4"/>
  <c r="G70" i="4"/>
  <c r="G54" i="4"/>
  <c r="G38" i="4"/>
  <c r="G22" i="4"/>
  <c r="G6" i="4"/>
  <c r="G276" i="4"/>
  <c r="G180" i="4"/>
  <c r="G36" i="4"/>
  <c r="G244" i="4"/>
  <c r="G196" i="4"/>
  <c r="G132" i="4"/>
  <c r="G84" i="4"/>
  <c r="F3" i="4"/>
  <c r="G3" i="4" s="1"/>
  <c r="G2" i="4"/>
  <c r="G243" i="4"/>
  <c r="G195" i="4"/>
  <c r="G131" i="4"/>
  <c r="G35" i="4"/>
  <c r="G164" i="4"/>
  <c r="G116" i="4"/>
  <c r="G68" i="4"/>
  <c r="G20" i="4"/>
  <c r="G275" i="4"/>
  <c r="G227" i="4"/>
  <c r="G179" i="4"/>
  <c r="G147" i="4"/>
  <c r="G99" i="4"/>
  <c r="G83" i="4"/>
  <c r="G51" i="4"/>
  <c r="G274" i="4"/>
  <c r="G258" i="4"/>
  <c r="G242" i="4"/>
  <c r="G226" i="4"/>
  <c r="G210" i="4"/>
  <c r="G194" i="4"/>
  <c r="G178" i="4"/>
  <c r="G162" i="4"/>
  <c r="G146" i="4"/>
  <c r="G130" i="4"/>
  <c r="G114" i="4"/>
  <c r="G98" i="4"/>
  <c r="G82" i="4"/>
  <c r="G66" i="4"/>
  <c r="G50" i="4"/>
  <c r="G34" i="4"/>
  <c r="G18" i="4"/>
  <c r="J159" i="1"/>
  <c r="J123" i="1"/>
  <c r="K255" i="1"/>
  <c r="K63" i="1"/>
  <c r="J219" i="1"/>
  <c r="J15" i="1"/>
  <c r="K51" i="1"/>
  <c r="J255" i="1"/>
  <c r="K75" i="1"/>
  <c r="K111" i="1"/>
  <c r="K231" i="1"/>
  <c r="K135" i="1"/>
  <c r="J279" i="1"/>
  <c r="J207" i="1"/>
  <c r="K219" i="1"/>
  <c r="K207" i="1"/>
  <c r="K159" i="1"/>
  <c r="J75" i="1"/>
  <c r="K147" i="1"/>
  <c r="J111" i="1"/>
  <c r="K39" i="1"/>
  <c r="K34" i="1"/>
  <c r="O35" i="1"/>
  <c r="H69" i="8" a="1"/>
  <c r="H69" i="8" s="1"/>
  <c r="G15" i="6" a="1"/>
  <c r="G15" i="6" s="1"/>
  <c r="J171" i="1" l="1"/>
  <c r="C111" i="3"/>
  <c r="F111" i="3" s="1"/>
  <c r="J267" i="1"/>
  <c r="K3" i="1"/>
  <c r="J39" i="1"/>
  <c r="E62" i="4"/>
  <c r="K123" i="1"/>
  <c r="K267" i="1"/>
  <c r="E170" i="4"/>
  <c r="J3" i="1"/>
  <c r="K15" i="1"/>
  <c r="J51" i="1"/>
  <c r="E122" i="4"/>
  <c r="E50" i="4"/>
  <c r="K99" i="1"/>
  <c r="K183" i="1"/>
  <c r="C3" i="3"/>
  <c r="C279" i="3"/>
  <c r="F279" i="3" s="1"/>
  <c r="H290" i="3" s="1"/>
  <c r="AE72" i="8" s="1"/>
  <c r="X54" i="8"/>
  <c r="Y54" i="8"/>
  <c r="C39" i="3"/>
  <c r="F39" i="3" s="1"/>
  <c r="H50" i="3" s="1"/>
  <c r="K72" i="8" s="1"/>
  <c r="N52" i="8"/>
  <c r="M52" i="8"/>
  <c r="C195" i="3"/>
  <c r="F195" i="3" s="1"/>
  <c r="H206" i="3" s="1"/>
  <c r="X72" i="8" s="1"/>
  <c r="E194" i="4"/>
  <c r="N54" i="8"/>
  <c r="M54" i="8"/>
  <c r="K87" i="1"/>
  <c r="J147" i="1"/>
  <c r="K171" i="1"/>
  <c r="I98" i="3"/>
  <c r="O73" i="8" s="1"/>
  <c r="C147" i="3"/>
  <c r="F147" i="3" s="1"/>
  <c r="H158" i="3" s="1"/>
  <c r="T72" i="8" s="1"/>
  <c r="K243" i="1"/>
  <c r="C87" i="3"/>
  <c r="F87" i="3" s="1"/>
  <c r="H98" i="3" s="1"/>
  <c r="O72" i="8" s="1"/>
  <c r="AD1" i="9"/>
  <c r="B10" i="8" s="1"/>
  <c r="E86" i="4"/>
  <c r="K27" i="1"/>
  <c r="E182" i="4"/>
  <c r="C99" i="3"/>
  <c r="F99" i="3" s="1"/>
  <c r="H110" i="3" s="1"/>
  <c r="P72" i="8" s="1"/>
  <c r="J183" i="1"/>
  <c r="I266" i="3"/>
  <c r="AC73" i="8" s="1"/>
  <c r="E98" i="4"/>
  <c r="J231" i="1"/>
  <c r="F15" i="6" a="1"/>
  <c r="C27" i="3"/>
  <c r="F27" i="3" s="1"/>
  <c r="H38" i="3" s="1"/>
  <c r="J72" i="8" s="1"/>
  <c r="C231" i="3"/>
  <c r="F231" i="3" s="1"/>
  <c r="H242" i="3" s="1"/>
  <c r="AA72" i="8" s="1"/>
  <c r="K195" i="1"/>
  <c r="E26" i="4"/>
  <c r="H131" i="4" s="1"/>
  <c r="I131" i="4" s="1"/>
  <c r="D11" i="8"/>
  <c r="C11" i="8"/>
  <c r="E11" i="8"/>
  <c r="E15" i="6" a="1"/>
  <c r="Z82" i="9"/>
  <c r="E39" i="6" s="1"/>
  <c r="K279" i="1"/>
  <c r="AE1" i="9"/>
  <c r="B11" i="8" s="1"/>
  <c r="C10" i="8"/>
  <c r="E10" i="8"/>
  <c r="D10" i="8"/>
  <c r="I230" i="3"/>
  <c r="Z73" i="8" s="1"/>
  <c r="I26" i="3"/>
  <c r="I73" i="8" s="1"/>
  <c r="I218" i="3"/>
  <c r="Y73" i="8" s="1"/>
  <c r="I278" i="3"/>
  <c r="AD73" i="8" s="1"/>
  <c r="I242" i="3"/>
  <c r="AA73" i="8" s="1"/>
  <c r="I290" i="3"/>
  <c r="AE73" i="8" s="1"/>
  <c r="I194" i="3"/>
  <c r="W73" i="8" s="1"/>
  <c r="I254" i="3"/>
  <c r="AB73" i="8" s="1"/>
  <c r="I38" i="3"/>
  <c r="J73" i="8" s="1"/>
  <c r="H278" i="3"/>
  <c r="AD72" i="8" s="1"/>
  <c r="I206" i="3"/>
  <c r="X73" i="8" s="1"/>
  <c r="H230" i="3"/>
  <c r="Z72" i="8" s="1"/>
  <c r="I146" i="3"/>
  <c r="S73" i="8" s="1"/>
  <c r="I134" i="3"/>
  <c r="R73" i="8" s="1"/>
  <c r="I122" i="3"/>
  <c r="Q73" i="8" s="1"/>
  <c r="I158" i="3"/>
  <c r="T73" i="8" s="1"/>
  <c r="H266" i="3"/>
  <c r="AC72" i="8" s="1"/>
  <c r="I86" i="3"/>
  <c r="N73" i="8" s="1"/>
  <c r="I110" i="3"/>
  <c r="P73" i="8" s="1"/>
  <c r="I182" i="3"/>
  <c r="V73" i="8" s="1"/>
  <c r="I74" i="3"/>
  <c r="M73" i="8" s="1"/>
  <c r="I62" i="3"/>
  <c r="L73" i="8" s="1"/>
  <c r="H254" i="3"/>
  <c r="AB72" i="8" s="1"/>
  <c r="I170" i="3"/>
  <c r="U73" i="8" s="1"/>
  <c r="H194" i="3"/>
  <c r="W72" i="8" s="1"/>
  <c r="H62" i="3"/>
  <c r="L72" i="8" s="1"/>
  <c r="H26" i="3"/>
  <c r="I72" i="8" s="1"/>
  <c r="H134" i="3"/>
  <c r="R72" i="8" s="1"/>
  <c r="H146" i="3"/>
  <c r="S72" i="8" s="1"/>
  <c r="H170" i="3"/>
  <c r="U72" i="8" s="1"/>
  <c r="H122" i="3"/>
  <c r="Q72" i="8" s="1"/>
  <c r="H74" i="3"/>
  <c r="M72" i="8" s="1"/>
  <c r="H86" i="3"/>
  <c r="N72" i="8" s="1"/>
  <c r="H218" i="3"/>
  <c r="Y72" i="8" s="1"/>
  <c r="I14" i="3"/>
  <c r="H73" i="8" s="1"/>
  <c r="H182" i="3"/>
  <c r="V72" i="8" s="1"/>
  <c r="L17" i="4"/>
  <c r="L21" i="4" s="1"/>
  <c r="L22" i="4" s="1"/>
  <c r="L18" i="4"/>
  <c r="L20" i="4" s="1"/>
  <c r="L28" i="4" s="1"/>
  <c r="L7" i="4" s="1"/>
  <c r="B21" i="8" s="1"/>
  <c r="H11" i="6" s="1"/>
  <c r="K50" i="1"/>
  <c r="D50" i="3"/>
  <c r="G50" i="3" s="1"/>
  <c r="G291" i="3" s="1"/>
  <c r="F3" i="3"/>
  <c r="H14" i="3" s="1"/>
  <c r="H72" i="8" s="1"/>
  <c r="H123" i="4" l="1"/>
  <c r="I123" i="4" s="1"/>
  <c r="H193" i="4"/>
  <c r="I193" i="4" s="1"/>
  <c r="H284" i="4"/>
  <c r="I284" i="4" s="1"/>
  <c r="H195" i="4"/>
  <c r="I195" i="4" s="1"/>
  <c r="H76" i="4"/>
  <c r="I76" i="4" s="1"/>
  <c r="H216" i="4"/>
  <c r="I216" i="4" s="1"/>
  <c r="H56" i="4"/>
  <c r="I56" i="4" s="1"/>
  <c r="H50" i="4"/>
  <c r="I50" i="4" s="1"/>
  <c r="H58" i="4"/>
  <c r="I58" i="4" s="1"/>
  <c r="H26" i="4"/>
  <c r="I26" i="4" s="1"/>
  <c r="H87" i="4"/>
  <c r="I87" i="4" s="1"/>
  <c r="H249" i="4"/>
  <c r="I249" i="4" s="1"/>
  <c r="H86" i="4"/>
  <c r="I86" i="4" s="1"/>
  <c r="H149" i="4"/>
  <c r="I149" i="4" s="1"/>
  <c r="H185" i="4"/>
  <c r="I185" i="4" s="1"/>
  <c r="H29" i="4"/>
  <c r="I29" i="4" s="1"/>
  <c r="H137" i="4"/>
  <c r="I137" i="4" s="1"/>
  <c r="H105" i="4"/>
  <c r="I105" i="4" s="1"/>
  <c r="H266" i="4"/>
  <c r="I266" i="4" s="1"/>
  <c r="H252" i="4"/>
  <c r="I252" i="4" s="1"/>
  <c r="H217" i="4"/>
  <c r="I217" i="4" s="1"/>
  <c r="H113" i="4"/>
  <c r="I113" i="4" s="1"/>
  <c r="H228" i="4"/>
  <c r="I228" i="4" s="1"/>
  <c r="H235" i="4"/>
  <c r="I235" i="4" s="1"/>
  <c r="H52" i="4"/>
  <c r="I52" i="4" s="1"/>
  <c r="H106" i="4"/>
  <c r="I106" i="4" s="1"/>
  <c r="H203" i="4"/>
  <c r="I203" i="4" s="1"/>
  <c r="H4" i="4"/>
  <c r="I4" i="4" s="1"/>
  <c r="H171" i="4"/>
  <c r="I171" i="4" s="1"/>
  <c r="H24" i="4"/>
  <c r="I24" i="4" s="1"/>
  <c r="H183" i="4"/>
  <c r="I183" i="4" s="1"/>
  <c r="H55" i="4"/>
  <c r="I55" i="4" s="1"/>
  <c r="H254" i="4"/>
  <c r="I254" i="4" s="1"/>
  <c r="H214" i="4"/>
  <c r="I214" i="4" s="1"/>
  <c r="H126" i="4"/>
  <c r="I126" i="4" s="1"/>
  <c r="H234" i="4"/>
  <c r="I234" i="4" s="1"/>
  <c r="H179" i="4"/>
  <c r="I179" i="4" s="1"/>
  <c r="H117" i="4"/>
  <c r="I117" i="4" s="1"/>
  <c r="H145" i="4"/>
  <c r="I145" i="4" s="1"/>
  <c r="H12" i="4"/>
  <c r="I12" i="4" s="1"/>
  <c r="H273" i="4"/>
  <c r="I273" i="4" s="1"/>
  <c r="H258" i="4"/>
  <c r="I258" i="4" s="1"/>
  <c r="H245" i="4"/>
  <c r="I245" i="4" s="1"/>
  <c r="H53" i="4"/>
  <c r="I53" i="4" s="1"/>
  <c r="H192" i="4"/>
  <c r="I192" i="4" s="1"/>
  <c r="B18" i="8"/>
  <c r="H7" i="6"/>
  <c r="H107" i="4"/>
  <c r="I107" i="4" s="1"/>
  <c r="H156" i="4"/>
  <c r="I156" i="4" s="1"/>
  <c r="H168" i="4"/>
  <c r="I168" i="4" s="1"/>
  <c r="H129" i="4"/>
  <c r="I129" i="4" s="1"/>
  <c r="H260" i="4"/>
  <c r="I260" i="4" s="1"/>
  <c r="H88" i="4"/>
  <c r="I88" i="4" s="1"/>
  <c r="H100" i="4"/>
  <c r="I100" i="4" s="1"/>
  <c r="H17" i="4"/>
  <c r="I17" i="4" s="1"/>
  <c r="H177" i="4"/>
  <c r="I177" i="4" s="1"/>
  <c r="H244" i="4"/>
  <c r="I244" i="4" s="1"/>
  <c r="H115" i="4"/>
  <c r="I115" i="4" s="1"/>
  <c r="H152" i="4"/>
  <c r="I152" i="4" s="1"/>
  <c r="H246" i="4"/>
  <c r="I246" i="4" s="1"/>
  <c r="H21" i="4"/>
  <c r="I21" i="4" s="1"/>
  <c r="H209" i="4"/>
  <c r="I209" i="4" s="1"/>
  <c r="H188" i="4"/>
  <c r="I188" i="4" s="1"/>
  <c r="H233" i="4"/>
  <c r="I233" i="4" s="1"/>
  <c r="H116" i="4"/>
  <c r="I116" i="4" s="1"/>
  <c r="H108" i="4"/>
  <c r="I108" i="4" s="1"/>
  <c r="H64" i="4"/>
  <c r="I64" i="4" s="1"/>
  <c r="H150" i="4"/>
  <c r="I150" i="4" s="1"/>
  <c r="H251" i="4"/>
  <c r="I251" i="4" s="1"/>
  <c r="H282" i="4"/>
  <c r="I282" i="4" s="1"/>
  <c r="H201" i="4"/>
  <c r="I201" i="4" s="1"/>
  <c r="H68" i="4"/>
  <c r="I68" i="4" s="1"/>
  <c r="H274" i="4"/>
  <c r="I274" i="4" s="1"/>
  <c r="H40" i="4"/>
  <c r="I40" i="4" s="1"/>
  <c r="H118" i="4"/>
  <c r="I118" i="4" s="1"/>
  <c r="H219" i="4"/>
  <c r="I219" i="4" s="1"/>
  <c r="H250" i="4"/>
  <c r="I250" i="4" s="1"/>
  <c r="H153" i="4"/>
  <c r="I153" i="4" s="1"/>
  <c r="H20" i="4"/>
  <c r="I20" i="4" s="1"/>
  <c r="H242" i="4"/>
  <c r="I242" i="4" s="1"/>
  <c r="H247" i="4"/>
  <c r="I247" i="4" s="1"/>
  <c r="H22" i="4"/>
  <c r="I22" i="4" s="1"/>
  <c r="H223" i="4"/>
  <c r="I223" i="4" s="1"/>
  <c r="H285" i="4"/>
  <c r="I285" i="4" s="1"/>
  <c r="H114" i="4"/>
  <c r="I114" i="4" s="1"/>
  <c r="H187" i="4"/>
  <c r="I187" i="4" s="1"/>
  <c r="H122" i="4"/>
  <c r="I122" i="4" s="1"/>
  <c r="H121" i="4"/>
  <c r="I121" i="4" s="1"/>
  <c r="H289" i="4"/>
  <c r="I289" i="4" s="1"/>
  <c r="H66" i="4"/>
  <c r="I66" i="4" s="1"/>
  <c r="H215" i="4"/>
  <c r="I215" i="4" s="1"/>
  <c r="H277" i="4"/>
  <c r="I277" i="4" s="1"/>
  <c r="H155" i="4"/>
  <c r="I155" i="4" s="1"/>
  <c r="H90" i="4"/>
  <c r="I90" i="4" s="1"/>
  <c r="H257" i="4"/>
  <c r="I257" i="4" s="1"/>
  <c r="H243" i="4"/>
  <c r="I243" i="4" s="1"/>
  <c r="H18" i="4"/>
  <c r="I18" i="4" s="1"/>
  <c r="H119" i="4"/>
  <c r="I119" i="4" s="1"/>
  <c r="H181" i="4"/>
  <c r="I181" i="4" s="1"/>
  <c r="H139" i="4"/>
  <c r="I139" i="4" s="1"/>
  <c r="H74" i="4"/>
  <c r="I74" i="4" s="1"/>
  <c r="H161" i="4"/>
  <c r="I161" i="4" s="1"/>
  <c r="H227" i="4"/>
  <c r="I227" i="4" s="1"/>
  <c r="H280" i="4"/>
  <c r="I280" i="4" s="1"/>
  <c r="H95" i="4"/>
  <c r="I95" i="4" s="1"/>
  <c r="H157" i="4"/>
  <c r="I157" i="4" s="1"/>
  <c r="H61" i="4"/>
  <c r="I61" i="4" s="1"/>
  <c r="C291" i="3"/>
  <c r="H241" i="4"/>
  <c r="I241" i="4" s="1"/>
  <c r="H10" i="4"/>
  <c r="I10" i="4" s="1"/>
  <c r="H276" i="4"/>
  <c r="I276" i="4" s="1"/>
  <c r="H147" i="4"/>
  <c r="I147" i="4" s="1"/>
  <c r="H184" i="4"/>
  <c r="I184" i="4" s="1"/>
  <c r="H278" i="4"/>
  <c r="I278" i="4" s="1"/>
  <c r="H81" i="4"/>
  <c r="I81" i="4" s="1"/>
  <c r="H98" i="4"/>
  <c r="I98" i="4" s="1"/>
  <c r="H208" i="4"/>
  <c r="I208" i="4" s="1"/>
  <c r="H80" i="4"/>
  <c r="I80" i="4" s="1"/>
  <c r="H239" i="4"/>
  <c r="I239" i="4" s="1"/>
  <c r="H111" i="4"/>
  <c r="I111" i="4" s="1"/>
  <c r="H270" i="4"/>
  <c r="I270" i="4" s="1"/>
  <c r="H142" i="4"/>
  <c r="I142" i="4" s="1"/>
  <c r="H14" i="4"/>
  <c r="I14" i="4" s="1"/>
  <c r="H173" i="4"/>
  <c r="I173" i="4" s="1"/>
  <c r="H45" i="4"/>
  <c r="I45" i="4" s="1"/>
  <c r="H65" i="4"/>
  <c r="I65" i="4" s="1"/>
  <c r="H84" i="4"/>
  <c r="I84" i="4" s="1"/>
  <c r="H211" i="4"/>
  <c r="I211" i="4" s="1"/>
  <c r="H204" i="4"/>
  <c r="I204" i="4" s="1"/>
  <c r="H82" i="4"/>
  <c r="I82" i="4" s="1"/>
  <c r="H200" i="4"/>
  <c r="I200" i="4" s="1"/>
  <c r="H72" i="4"/>
  <c r="I72" i="4" s="1"/>
  <c r="H231" i="4"/>
  <c r="I231" i="4" s="1"/>
  <c r="H103" i="4"/>
  <c r="I103" i="4" s="1"/>
  <c r="H262" i="4"/>
  <c r="I262" i="4" s="1"/>
  <c r="H134" i="4"/>
  <c r="I134" i="4" s="1"/>
  <c r="H6" i="4"/>
  <c r="I6" i="4" s="1"/>
  <c r="H165" i="4"/>
  <c r="I165" i="4" s="1"/>
  <c r="H37" i="4"/>
  <c r="I37" i="4" s="1"/>
  <c r="H42" i="4"/>
  <c r="I42" i="4" s="1"/>
  <c r="H169" i="4"/>
  <c r="I169" i="4" s="1"/>
  <c r="H60" i="4"/>
  <c r="I60" i="4" s="1"/>
  <c r="H36" i="4"/>
  <c r="I36" i="4" s="1"/>
  <c r="H163" i="4"/>
  <c r="I163" i="4" s="1"/>
  <c r="H34" i="4"/>
  <c r="I34" i="4" s="1"/>
  <c r="H176" i="4"/>
  <c r="I176" i="4" s="1"/>
  <c r="H48" i="4"/>
  <c r="I48" i="4" s="1"/>
  <c r="H207" i="4"/>
  <c r="I207" i="4" s="1"/>
  <c r="H79" i="4"/>
  <c r="I79" i="4" s="1"/>
  <c r="H238" i="4"/>
  <c r="I238" i="4" s="1"/>
  <c r="H110" i="4"/>
  <c r="I110" i="4" s="1"/>
  <c r="H269" i="4"/>
  <c r="I269" i="4" s="1"/>
  <c r="H141" i="4"/>
  <c r="I141" i="4" s="1"/>
  <c r="H13" i="4"/>
  <c r="I13" i="4" s="1"/>
  <c r="H199" i="4"/>
  <c r="I199" i="4" s="1"/>
  <c r="H71" i="4"/>
  <c r="I71" i="4" s="1"/>
  <c r="H230" i="4"/>
  <c r="I230" i="4" s="1"/>
  <c r="H102" i="4"/>
  <c r="I102" i="4" s="1"/>
  <c r="H261" i="4"/>
  <c r="I261" i="4" s="1"/>
  <c r="H133" i="4"/>
  <c r="I133" i="4" s="1"/>
  <c r="H5" i="4"/>
  <c r="I5" i="4" s="1"/>
  <c r="H288" i="4"/>
  <c r="I288" i="4" s="1"/>
  <c r="H160" i="4"/>
  <c r="I160" i="4" s="1"/>
  <c r="H32" i="4"/>
  <c r="I32" i="4" s="1"/>
  <c r="H191" i="4"/>
  <c r="I191" i="4" s="1"/>
  <c r="H63" i="4"/>
  <c r="I63" i="4" s="1"/>
  <c r="H222" i="4"/>
  <c r="I222" i="4" s="1"/>
  <c r="H94" i="4"/>
  <c r="I94" i="4" s="1"/>
  <c r="H253" i="4"/>
  <c r="I253" i="4" s="1"/>
  <c r="H125" i="4"/>
  <c r="I125" i="4" s="1"/>
  <c r="H3" i="4"/>
  <c r="I3" i="4" s="1"/>
  <c r="F38" i="6"/>
  <c r="F33" i="6"/>
  <c r="F18" i="6"/>
  <c r="F19" i="6"/>
  <c r="F17" i="6"/>
  <c r="F36" i="6"/>
  <c r="F32" i="6"/>
  <c r="F31" i="6"/>
  <c r="F34" i="6"/>
  <c r="F21" i="6"/>
  <c r="F30" i="6"/>
  <c r="F35" i="6"/>
  <c r="F24" i="6"/>
  <c r="F27" i="6"/>
  <c r="F37" i="6"/>
  <c r="F29" i="6"/>
  <c r="F23" i="6"/>
  <c r="F16" i="6"/>
  <c r="F28" i="6"/>
  <c r="F25" i="6"/>
  <c r="F26" i="6"/>
  <c r="F20" i="6"/>
  <c r="F15" i="6"/>
  <c r="F22" i="6"/>
  <c r="H99" i="4"/>
  <c r="I99" i="4" s="1"/>
  <c r="H226" i="4"/>
  <c r="I226" i="4" s="1"/>
  <c r="H272" i="4"/>
  <c r="I272" i="4" s="1"/>
  <c r="H144" i="4"/>
  <c r="I144" i="4" s="1"/>
  <c r="H16" i="4"/>
  <c r="I16" i="4" s="1"/>
  <c r="H175" i="4"/>
  <c r="I175" i="4" s="1"/>
  <c r="H47" i="4"/>
  <c r="I47" i="4" s="1"/>
  <c r="H206" i="4"/>
  <c r="I206" i="4" s="1"/>
  <c r="H78" i="4"/>
  <c r="I78" i="4" s="1"/>
  <c r="H237" i="4"/>
  <c r="I237" i="4" s="1"/>
  <c r="H109" i="4"/>
  <c r="I109" i="4" s="1"/>
  <c r="H91" i="4"/>
  <c r="I91" i="4" s="1"/>
  <c r="H212" i="4"/>
  <c r="I212" i="4" s="1"/>
  <c r="H97" i="4"/>
  <c r="I97" i="4" s="1"/>
  <c r="H83" i="4"/>
  <c r="I83" i="4" s="1"/>
  <c r="H210" i="4"/>
  <c r="I210" i="4" s="1"/>
  <c r="H264" i="4"/>
  <c r="I264" i="4" s="1"/>
  <c r="H136" i="4"/>
  <c r="I136" i="4" s="1"/>
  <c r="H8" i="4"/>
  <c r="I8" i="4" s="1"/>
  <c r="H167" i="4"/>
  <c r="I167" i="4" s="1"/>
  <c r="H39" i="4"/>
  <c r="I39" i="4" s="1"/>
  <c r="H198" i="4"/>
  <c r="I198" i="4" s="1"/>
  <c r="H70" i="4"/>
  <c r="I70" i="4" s="1"/>
  <c r="H229" i="4"/>
  <c r="I229" i="4" s="1"/>
  <c r="H101" i="4"/>
  <c r="I101" i="4" s="1"/>
  <c r="L10" i="4"/>
  <c r="H49" i="4"/>
  <c r="I49" i="4" s="1"/>
  <c r="H220" i="4"/>
  <c r="I220" i="4" s="1"/>
  <c r="H75" i="4"/>
  <c r="I75" i="4" s="1"/>
  <c r="H202" i="4"/>
  <c r="I202" i="4" s="1"/>
  <c r="H268" i="4"/>
  <c r="I268" i="4" s="1"/>
  <c r="H73" i="4"/>
  <c r="I73" i="4" s="1"/>
  <c r="H196" i="4"/>
  <c r="I196" i="4" s="1"/>
  <c r="H236" i="4"/>
  <c r="I236" i="4" s="1"/>
  <c r="H67" i="4"/>
  <c r="I67" i="4" s="1"/>
  <c r="H194" i="4"/>
  <c r="I194" i="4" s="1"/>
  <c r="H256" i="4"/>
  <c r="I256" i="4" s="1"/>
  <c r="H128" i="4"/>
  <c r="I128" i="4" s="1"/>
  <c r="H287" i="4"/>
  <c r="I287" i="4" s="1"/>
  <c r="H159" i="4"/>
  <c r="I159" i="4" s="1"/>
  <c r="H31" i="4"/>
  <c r="I31" i="4" s="1"/>
  <c r="H190" i="4"/>
  <c r="I190" i="4" s="1"/>
  <c r="H62" i="4"/>
  <c r="I62" i="4" s="1"/>
  <c r="H221" i="4"/>
  <c r="I221" i="4" s="1"/>
  <c r="H93" i="4"/>
  <c r="I93" i="4" s="1"/>
  <c r="H89" i="4"/>
  <c r="I89" i="4" s="1"/>
  <c r="H124" i="4"/>
  <c r="I124" i="4" s="1"/>
  <c r="H59" i="4"/>
  <c r="I59" i="4" s="1"/>
  <c r="H186" i="4"/>
  <c r="I186" i="4" s="1"/>
  <c r="H172" i="4"/>
  <c r="I172" i="4" s="1"/>
  <c r="H57" i="4"/>
  <c r="I57" i="4" s="1"/>
  <c r="H180" i="4"/>
  <c r="I180" i="4" s="1"/>
  <c r="H140" i="4"/>
  <c r="I140" i="4" s="1"/>
  <c r="H51" i="4"/>
  <c r="I51" i="4" s="1"/>
  <c r="H178" i="4"/>
  <c r="I178" i="4" s="1"/>
  <c r="H248" i="4"/>
  <c r="I248" i="4" s="1"/>
  <c r="H120" i="4"/>
  <c r="I120" i="4" s="1"/>
  <c r="H279" i="4"/>
  <c r="I279" i="4" s="1"/>
  <c r="H151" i="4"/>
  <c r="I151" i="4" s="1"/>
  <c r="H23" i="4"/>
  <c r="I23" i="4" s="1"/>
  <c r="H182" i="4"/>
  <c r="I182" i="4" s="1"/>
  <c r="H54" i="4"/>
  <c r="I54" i="4" s="1"/>
  <c r="H213" i="4"/>
  <c r="I213" i="4" s="1"/>
  <c r="H85" i="4"/>
  <c r="I85" i="4" s="1"/>
  <c r="H2" i="4"/>
  <c r="I2" i="4" s="1"/>
  <c r="H43" i="4"/>
  <c r="I43" i="4" s="1"/>
  <c r="H170" i="4"/>
  <c r="I170" i="4" s="1"/>
  <c r="H92" i="4"/>
  <c r="I92" i="4" s="1"/>
  <c r="H41" i="4"/>
  <c r="I41" i="4" s="1"/>
  <c r="H164" i="4"/>
  <c r="I164" i="4" s="1"/>
  <c r="H28" i="4"/>
  <c r="I28" i="4" s="1"/>
  <c r="H35" i="4"/>
  <c r="I35" i="4" s="1"/>
  <c r="H162" i="4"/>
  <c r="I162" i="4" s="1"/>
  <c r="H240" i="4"/>
  <c r="I240" i="4" s="1"/>
  <c r="H112" i="4"/>
  <c r="I112" i="4" s="1"/>
  <c r="H271" i="4"/>
  <c r="I271" i="4" s="1"/>
  <c r="H143" i="4"/>
  <c r="I143" i="4" s="1"/>
  <c r="H15" i="4"/>
  <c r="I15" i="4" s="1"/>
  <c r="H174" i="4"/>
  <c r="I174" i="4" s="1"/>
  <c r="H46" i="4"/>
  <c r="I46" i="4" s="1"/>
  <c r="H205" i="4"/>
  <c r="I205" i="4" s="1"/>
  <c r="H77" i="4"/>
  <c r="I77" i="4" s="1"/>
  <c r="H33" i="4"/>
  <c r="I33" i="4" s="1"/>
  <c r="H44" i="4"/>
  <c r="I44" i="4" s="1"/>
  <c r="H283" i="4"/>
  <c r="I283" i="4" s="1"/>
  <c r="H27" i="4"/>
  <c r="I27" i="4" s="1"/>
  <c r="H154" i="4"/>
  <c r="I154" i="4" s="1"/>
  <c r="H281" i="4"/>
  <c r="I281" i="4" s="1"/>
  <c r="H25" i="4"/>
  <c r="I25" i="4" s="1"/>
  <c r="H148" i="4"/>
  <c r="I148" i="4" s="1"/>
  <c r="H275" i="4"/>
  <c r="I275" i="4" s="1"/>
  <c r="H19" i="4"/>
  <c r="I19" i="4" s="1"/>
  <c r="H146" i="4"/>
  <c r="I146" i="4" s="1"/>
  <c r="H232" i="4"/>
  <c r="I232" i="4" s="1"/>
  <c r="H104" i="4"/>
  <c r="I104" i="4" s="1"/>
  <c r="H263" i="4"/>
  <c r="I263" i="4" s="1"/>
  <c r="H135" i="4"/>
  <c r="I135" i="4" s="1"/>
  <c r="H7" i="4"/>
  <c r="I7" i="4" s="1"/>
  <c r="H166" i="4"/>
  <c r="I166" i="4" s="1"/>
  <c r="H38" i="4"/>
  <c r="I38" i="4" s="1"/>
  <c r="H197" i="4"/>
  <c r="I197" i="4" s="1"/>
  <c r="H69" i="4"/>
  <c r="I69" i="4" s="1"/>
  <c r="H218" i="4"/>
  <c r="I218" i="4" s="1"/>
  <c r="H267" i="4"/>
  <c r="I267" i="4" s="1"/>
  <c r="H11" i="4"/>
  <c r="I11" i="4" s="1"/>
  <c r="H138" i="4"/>
  <c r="I138" i="4" s="1"/>
  <c r="H265" i="4"/>
  <c r="I265" i="4" s="1"/>
  <c r="H9" i="4"/>
  <c r="I9" i="4" s="1"/>
  <c r="H132" i="4"/>
  <c r="I132" i="4" s="1"/>
  <c r="H259" i="4"/>
  <c r="I259" i="4" s="1"/>
  <c r="H225" i="4"/>
  <c r="I225" i="4" s="1"/>
  <c r="H130" i="4"/>
  <c r="I130" i="4" s="1"/>
  <c r="H224" i="4"/>
  <c r="I224" i="4" s="1"/>
  <c r="H96" i="4"/>
  <c r="I96" i="4" s="1"/>
  <c r="H255" i="4"/>
  <c r="I255" i="4" s="1"/>
  <c r="H127" i="4"/>
  <c r="I127" i="4" s="1"/>
  <c r="H286" i="4"/>
  <c r="I286" i="4" s="1"/>
  <c r="H158" i="4"/>
  <c r="I158" i="4" s="1"/>
  <c r="H30" i="4"/>
  <c r="I30" i="4" s="1"/>
  <c r="H189" i="4"/>
  <c r="I189" i="4" s="1"/>
  <c r="E31" i="6"/>
  <c r="E36" i="6"/>
  <c r="E35" i="6"/>
  <c r="E34" i="6"/>
  <c r="E33" i="6"/>
  <c r="E32" i="6"/>
  <c r="E24" i="6"/>
  <c r="E23" i="6"/>
  <c r="E22" i="6"/>
  <c r="E21" i="6"/>
  <c r="E20" i="6"/>
  <c r="E19" i="6"/>
  <c r="E18" i="6"/>
  <c r="E17" i="6"/>
  <c r="E16" i="6"/>
  <c r="E38" i="6"/>
  <c r="E37" i="6"/>
  <c r="E25" i="6"/>
  <c r="E30" i="6"/>
  <c r="E26" i="6"/>
  <c r="E27" i="6"/>
  <c r="E28" i="6"/>
  <c r="E29" i="6"/>
  <c r="E15" i="6"/>
  <c r="D39" i="6"/>
  <c r="B39" i="6"/>
  <c r="C39" i="6"/>
  <c r="H15" i="6" a="1"/>
  <c r="I50" i="3"/>
  <c r="K73" i="8" s="1"/>
  <c r="I15" i="6" s="1" a="1"/>
  <c r="D291" i="3"/>
  <c r="K291" i="1"/>
  <c r="J28" i="1"/>
  <c r="J291" i="1" s="1"/>
  <c r="L6" i="4" l="1"/>
  <c r="B22" i="8" s="1"/>
  <c r="H10" i="6" s="1"/>
  <c r="I38" i="6"/>
  <c r="I30" i="6"/>
  <c r="I33" i="6"/>
  <c r="I22" i="6"/>
  <c r="I28" i="6"/>
  <c r="I31" i="6"/>
  <c r="I24" i="6"/>
  <c r="I16" i="6"/>
  <c r="I25" i="6"/>
  <c r="I17" i="6"/>
  <c r="I18" i="6"/>
  <c r="I27" i="6"/>
  <c r="I36" i="6"/>
  <c r="I23" i="6"/>
  <c r="I35" i="6"/>
  <c r="I26" i="6"/>
  <c r="I29" i="6"/>
  <c r="I15" i="6"/>
  <c r="I32" i="6"/>
  <c r="I34" i="6"/>
  <c r="I19" i="6"/>
  <c r="I20" i="6"/>
  <c r="I21" i="6"/>
  <c r="I37" i="6"/>
  <c r="H37" i="6"/>
  <c r="H29" i="6"/>
  <c r="H17" i="6"/>
  <c r="H35" i="6"/>
  <c r="H30" i="6"/>
  <c r="H15" i="6"/>
  <c r="H16" i="6"/>
  <c r="H31" i="6"/>
  <c r="H32" i="6"/>
  <c r="H38" i="6"/>
  <c r="H33" i="6"/>
  <c r="H28" i="6"/>
  <c r="H22" i="6"/>
  <c r="H18" i="6"/>
  <c r="H23" i="6"/>
  <c r="H34" i="6"/>
  <c r="H24" i="6"/>
  <c r="H19" i="6"/>
  <c r="H25" i="6"/>
  <c r="H20" i="6"/>
  <c r="H26" i="6"/>
  <c r="H36" i="6"/>
  <c r="H27" i="6"/>
  <c r="H21" i="6"/>
  <c r="H39" i="6" l="1"/>
  <c r="I39" i="6"/>
  <c r="F291" i="3"/>
  <c r="B17" i="8" l="1"/>
  <c r="H6" i="6"/>
  <c r="H8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Amiel Sagun</author>
  </authors>
  <commentList>
    <comment ref="X1" authorId="0" shapeId="0" xr:uid="{5E8EFB97-398B-4D4A-A08D-4C38041EF69F}">
      <text>
        <r>
          <rPr>
            <b/>
            <sz val="14"/>
            <color indexed="81"/>
            <rFont val="Tahoma"/>
            <family val="2"/>
          </rPr>
          <t>Amiel Sagun:</t>
        </r>
        <r>
          <rPr>
            <sz val="14"/>
            <color indexed="81"/>
            <rFont val="Tahoma"/>
            <family val="2"/>
          </rPr>
          <t xml:space="preserve">
paste value MQ here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Amiel Sagun</author>
  </authors>
  <commentList>
    <comment ref="C1" authorId="0" shapeId="0" xr:uid="{F2653F8D-D2A2-44AF-95A9-0725FE3DF415}">
      <text>
        <r>
          <rPr>
            <b/>
            <sz val="9"/>
            <color indexed="81"/>
            <rFont val="Tahoma"/>
            <family val="2"/>
          </rPr>
          <t>Amiel Sagun: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Paste value Actual Load from Trading Report sheet if MQ is not available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Amiel Sagun</author>
  </authors>
  <commentList>
    <comment ref="P1" authorId="0" shapeId="0" xr:uid="{DE9279EA-58FC-473F-BDEB-23619BC8BC85}">
      <text>
        <r>
          <rPr>
            <b/>
            <sz val="9"/>
            <color indexed="81"/>
            <rFont val="Tahoma"/>
            <family val="2"/>
          </rPr>
          <t>Amiel Sagun: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1. Paste value Forecast Percentage Error
2. Sort from smallest to largest value</t>
        </r>
      </text>
    </comment>
    <comment ref="F2" authorId="0" shapeId="0" xr:uid="{3A1CAF5B-B21C-47BD-9EC7-CA725BBADD6B}">
      <text>
        <r>
          <rPr>
            <b/>
            <sz val="9"/>
            <color indexed="81"/>
            <rFont val="Tahoma"/>
            <family val="2"/>
          </rPr>
          <t xml:space="preserve">Amiel Sagun:
</t>
        </r>
        <r>
          <rPr>
            <sz val="14"/>
            <color indexed="81"/>
            <rFont val="Tahoma"/>
            <family val="2"/>
          </rPr>
          <t>Paste value 2400H RTD of the previous trading day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AAEE42-D7CE-4820-A4AB-F694DF8EA026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C2BF01D3-F41C-408B-A6C7-FBA901288594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3" xr16:uid="{562871DF-624F-4A35-990F-AD5EEC07679C}" keepAlive="1" name="Query - RTD Prices and Schedule" description="Connection to the 'RTD Prices and Schedule' query in the workbook." type="5" refreshedVersion="0" background="1">
    <dbPr connection="Provider=Microsoft.Mashup.OleDb.1;Data Source=$Workbook$;Location=&quot;RTD Prices and Schedule&quot;;Extended Properties=&quot;&quot;" command="SELECT * FROM [RTD Prices and Schedule]"/>
  </connection>
  <connection id="4" xr16:uid="{0DA1E5AD-CD0E-4B20-8CCC-A56E01833150}" keepAlive="1" name="Query - RTD_20230320" description="Connection to the 'RTD_20230320' query in the workbook." type="5" refreshedVersion="8" background="1" saveData="1">
    <dbPr connection="Provider=Microsoft.Mashup.OleDb.1;Data Source=$Workbook$;Location=RTD_20230320;Extended Properties=&quot;&quot;" command="SELECT * FROM [RTD_20230320]"/>
  </connection>
  <connection id="5" xr16:uid="{38847B29-BE46-4368-BC2A-1BA206C123B1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6" xr16:uid="{3A3C27A6-56B9-4226-A2A3-2739CA17C494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7" xr16:uid="{2DA18223-7194-4793-9108-7061B2B3566E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8" xr16:uid="{6BF745B8-16A5-42C4-95E3-AF568A8A8B1C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9" xr16:uid="{345789D8-3115-46D1-BCE1-806D42B10F75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0" xr16:uid="{189EFA6D-CA70-49C8-9FA7-E085D3699991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<sst xmlns="http://schemas.openxmlformats.org/spreadsheetml/2006/main" count="1377" uniqueCount="830">
  <si>
    <t>HOUR</t>
  </si>
  <si>
    <t>INTERVAL</t>
  </si>
  <si>
    <t>01H</t>
    <phoneticPr fontId="9" type="noConversion"/>
  </si>
  <si>
    <t>02H</t>
    <phoneticPr fontId="9" type="noConversion"/>
  </si>
  <si>
    <t>03H</t>
    <phoneticPr fontId="9" type="noConversion"/>
  </si>
  <si>
    <t>04H</t>
    <phoneticPr fontId="9" type="noConversion"/>
  </si>
  <si>
    <t>05H</t>
    <phoneticPr fontId="9" type="noConversion"/>
  </si>
  <si>
    <t>06H</t>
    <phoneticPr fontId="9" type="noConversion"/>
  </si>
  <si>
    <t>07H</t>
    <phoneticPr fontId="9" type="noConversion"/>
  </si>
  <si>
    <t>08H</t>
    <phoneticPr fontId="9" type="noConversion"/>
  </si>
  <si>
    <t>09H</t>
    <phoneticPr fontId="9" type="noConversion"/>
  </si>
  <si>
    <t>10H</t>
    <phoneticPr fontId="9" type="noConversion"/>
  </si>
  <si>
    <t>11H</t>
    <phoneticPr fontId="9" type="noConversion"/>
  </si>
  <si>
    <t>12H</t>
    <phoneticPr fontId="9" type="noConversion"/>
  </si>
  <si>
    <t>13H</t>
    <phoneticPr fontId="9" type="noConversion"/>
  </si>
  <si>
    <t>14H</t>
    <phoneticPr fontId="9" type="noConversion"/>
  </si>
  <si>
    <t>15H</t>
    <phoneticPr fontId="9" type="noConversion"/>
  </si>
  <si>
    <t>16H</t>
    <phoneticPr fontId="9" type="noConversion"/>
  </si>
  <si>
    <t>17H</t>
    <phoneticPr fontId="9" type="noConversion"/>
  </si>
  <si>
    <t>18H</t>
    <phoneticPr fontId="9" type="noConversion"/>
  </si>
  <si>
    <t>19H</t>
    <phoneticPr fontId="9" type="noConversion"/>
  </si>
  <si>
    <t>20H</t>
    <phoneticPr fontId="9" type="noConversion"/>
  </si>
  <si>
    <t>21H</t>
    <phoneticPr fontId="9" type="noConversion"/>
  </si>
  <si>
    <t>22H</t>
    <phoneticPr fontId="9" type="noConversion"/>
  </si>
  <si>
    <t>23H</t>
    <phoneticPr fontId="9" type="noConversion"/>
  </si>
  <si>
    <t>24H</t>
    <phoneticPr fontId="9" type="noConversion"/>
  </si>
  <si>
    <t>RTD
（MW）</t>
    <phoneticPr fontId="9" type="noConversion"/>
  </si>
  <si>
    <t>ACTUAL DISPATCH
（MW）</t>
    <phoneticPr fontId="9" type="noConversion"/>
  </si>
  <si>
    <t>ENERGY TRADING AMOUNT</t>
    <phoneticPr fontId="9" type="noConversion"/>
  </si>
  <si>
    <t>INTERVAL</t>
    <phoneticPr fontId="9" type="noConversion"/>
  </si>
  <si>
    <t>REMARKS</t>
    <phoneticPr fontId="9" type="noConversion"/>
  </si>
  <si>
    <t>TRANSACTION ID NO.</t>
    <phoneticPr fontId="9" type="noConversion"/>
  </si>
  <si>
    <t>PLANT OPERATOR ON DUTY</t>
    <phoneticPr fontId="9" type="noConversion"/>
  </si>
  <si>
    <t>RUN_TIME</t>
  </si>
  <si>
    <t>ADV_ID</t>
  </si>
  <si>
    <t>ADV_SDATE</t>
  </si>
  <si>
    <t>ADV_TRAN_TYPE</t>
  </si>
  <si>
    <t>ADV_TEXT_MESSAGE</t>
  </si>
  <si>
    <t>MPI ADVISORIES</t>
    <phoneticPr fontId="9" type="noConversion"/>
  </si>
  <si>
    <t>BID TIME</t>
    <phoneticPr fontId="9" type="noConversion"/>
  </si>
  <si>
    <t>Hour 1</t>
    <phoneticPr fontId="9" type="noConversion"/>
  </si>
  <si>
    <t>Hour 2</t>
    <phoneticPr fontId="9" type="noConversion"/>
  </si>
  <si>
    <t>Hour 3</t>
    <phoneticPr fontId="9" type="noConversion"/>
  </si>
  <si>
    <t>Hour 4</t>
  </si>
  <si>
    <t>Hour 5</t>
  </si>
  <si>
    <t>Hour 6</t>
  </si>
  <si>
    <t>Hour 7</t>
  </si>
  <si>
    <t>Hour 8</t>
  </si>
  <si>
    <t>Hour 9</t>
  </si>
  <si>
    <t>Hour 10</t>
  </si>
  <si>
    <t>Hour 11</t>
  </si>
  <si>
    <t>Hour 12</t>
  </si>
  <si>
    <t>Hour 13</t>
  </si>
  <si>
    <t>Hour 14</t>
  </si>
  <si>
    <t>Hour 15</t>
  </si>
  <si>
    <t>Hour 16</t>
  </si>
  <si>
    <t>Hour 17</t>
  </si>
  <si>
    <t>Hour 18</t>
  </si>
  <si>
    <t>Hour 19</t>
  </si>
  <si>
    <t>Hour 20</t>
  </si>
  <si>
    <t>Hour 21</t>
  </si>
  <si>
    <t>Hour 22</t>
  </si>
  <si>
    <t>Hour 23</t>
  </si>
  <si>
    <t>Hour 24</t>
  </si>
  <si>
    <t>Maximum</t>
    <phoneticPr fontId="9" type="noConversion"/>
  </si>
  <si>
    <t>Average</t>
    <phoneticPr fontId="9" type="noConversion"/>
  </si>
  <si>
    <t>Minimum</t>
    <phoneticPr fontId="9" type="noConversion"/>
  </si>
  <si>
    <t>LMP</t>
    <phoneticPr fontId="9" type="noConversion"/>
  </si>
  <si>
    <t>RTD</t>
    <phoneticPr fontId="9" type="noConversion"/>
  </si>
  <si>
    <t>ACTUAL DISPATCH</t>
    <phoneticPr fontId="9" type="noConversion"/>
  </si>
  <si>
    <t>MQ</t>
    <phoneticPr fontId="9" type="noConversion"/>
  </si>
  <si>
    <t>IRRADIANCE</t>
    <phoneticPr fontId="9" type="noConversion"/>
  </si>
  <si>
    <t>WEATHER CONDITION</t>
    <phoneticPr fontId="9" type="noConversion"/>
  </si>
  <si>
    <t>TOTAL</t>
    <phoneticPr fontId="9" type="noConversion"/>
  </si>
  <si>
    <t>Weather Condition：</t>
    <phoneticPr fontId="9" type="noConversion"/>
  </si>
  <si>
    <t>Fair</t>
  </si>
  <si>
    <t>Fair</t>
    <phoneticPr fontId="9" type="noConversion"/>
  </si>
  <si>
    <t>Partly Cloudy</t>
    <phoneticPr fontId="9" type="noConversion"/>
  </si>
  <si>
    <t>Cloudy</t>
    <phoneticPr fontId="9" type="noConversion"/>
  </si>
  <si>
    <t>Cloudy with Light Rain</t>
    <phoneticPr fontId="9" type="noConversion"/>
  </si>
  <si>
    <t>Rainy</t>
    <phoneticPr fontId="9" type="noConversion"/>
  </si>
  <si>
    <t>Stormy</t>
    <phoneticPr fontId="9" type="noConversion"/>
  </si>
  <si>
    <t>Hour 1</t>
  </si>
  <si>
    <t>Hour 2</t>
  </si>
  <si>
    <t>Hour 3</t>
  </si>
  <si>
    <t>AL</t>
    <phoneticPr fontId="9" type="noConversion"/>
  </si>
  <si>
    <t>AD</t>
    <phoneticPr fontId="9" type="noConversion"/>
  </si>
  <si>
    <t>Total</t>
    <phoneticPr fontId="9" type="noConversion"/>
  </si>
  <si>
    <t>Reference：</t>
    <phoneticPr fontId="9" type="noConversion"/>
  </si>
  <si>
    <t>LMP = Locational Marginal Price， Php</t>
    <phoneticPr fontId="9" type="noConversion"/>
  </si>
  <si>
    <t>DAILY TRADING SUMMARY</t>
    <phoneticPr fontId="9" type="noConversion"/>
  </si>
  <si>
    <t>PREPARED  BY:</t>
    <phoneticPr fontId="9" type="noConversion"/>
  </si>
  <si>
    <t>Shift 1</t>
    <phoneticPr fontId="9" type="noConversion"/>
  </si>
  <si>
    <t>Shift 2</t>
    <phoneticPr fontId="9" type="noConversion"/>
  </si>
  <si>
    <t>MKT_TYPE</t>
  </si>
  <si>
    <t>TIME_INTERVAL</t>
  </si>
  <si>
    <t>REGION_NAME</t>
  </si>
  <si>
    <t>RESOURCE_NAME</t>
  </si>
  <si>
    <t>RESOURCE_TYPE</t>
  </si>
  <si>
    <t>SCHED_MW</t>
  </si>
  <si>
    <t>LMP</t>
  </si>
  <si>
    <t>LOSS_FACTOR</t>
  </si>
  <si>
    <t>LMP_SMP</t>
  </si>
  <si>
    <t>LMP_LOSS</t>
  </si>
  <si>
    <t>LMP_CONGESTION</t>
  </si>
  <si>
    <t>MQ
（MW）</t>
    <phoneticPr fontId="9" type="noConversion"/>
  </si>
  <si>
    <t>Energy Purchase</t>
    <phoneticPr fontId="9" type="noConversion"/>
  </si>
  <si>
    <t>Net Revenue</t>
    <phoneticPr fontId="9" type="noConversion"/>
  </si>
  <si>
    <t>SALES</t>
    <phoneticPr fontId="9" type="noConversion"/>
  </si>
  <si>
    <t>PURCHASE</t>
    <phoneticPr fontId="9" type="noConversion"/>
  </si>
  <si>
    <t>TRADING AMOUNT</t>
    <phoneticPr fontId="9" type="noConversion"/>
  </si>
  <si>
    <t>INSTRUCTIONS:</t>
    <phoneticPr fontId="9" type="noConversion"/>
  </si>
  <si>
    <t>TASKS:</t>
    <phoneticPr fontId="9" type="noConversion"/>
  </si>
  <si>
    <t>SHIFT 1:</t>
    <phoneticPr fontId="9" type="noConversion"/>
  </si>
  <si>
    <t>SHIFT 2:</t>
    <phoneticPr fontId="9" type="noConversion"/>
  </si>
  <si>
    <t>Weather Condition:</t>
    <phoneticPr fontId="9" type="noConversion"/>
  </si>
  <si>
    <t xml:space="preserve">TIME </t>
    <phoneticPr fontId="9" type="noConversion"/>
  </si>
  <si>
    <t>Date:</t>
  </si>
  <si>
    <t>MAPE:</t>
  </si>
  <si>
    <t>MAPE = Mean Absolute Percentage Error</t>
  </si>
  <si>
    <t>MAXIMUM MQ</t>
  </si>
  <si>
    <t>Interval</t>
  </si>
  <si>
    <t>00:05:00</t>
  </si>
  <si>
    <t>00:10:00</t>
  </si>
  <si>
    <t>00:15:00</t>
  </si>
  <si>
    <t>00:20:00</t>
  </si>
  <si>
    <t>00:25:00</t>
  </si>
  <si>
    <t>00:30:00</t>
  </si>
  <si>
    <t>00:35:00</t>
  </si>
  <si>
    <t>00:40:00</t>
  </si>
  <si>
    <t>00:45:00</t>
  </si>
  <si>
    <t>00:50:00</t>
  </si>
  <si>
    <t>00:55:00</t>
  </si>
  <si>
    <t>01:00:00</t>
  </si>
  <si>
    <t>DEL</t>
  </si>
  <si>
    <t>REC</t>
  </si>
  <si>
    <t>KWh</t>
  </si>
  <si>
    <t>MWh</t>
  </si>
  <si>
    <t>DELIVERED</t>
  </si>
  <si>
    <t>RECEIVED</t>
  </si>
  <si>
    <t>TIME INTERVAL</t>
  </si>
  <si>
    <t>12:05:00 AM</t>
  </si>
  <si>
    <t>12:10:00 AM</t>
  </si>
  <si>
    <t>12:15:00 AM</t>
  </si>
  <si>
    <t>12:20:00 AM</t>
  </si>
  <si>
    <t>12:25:00 AM</t>
  </si>
  <si>
    <t>12:30:00 AM</t>
  </si>
  <si>
    <t>12:35:00 AM</t>
  </si>
  <si>
    <t>12:40:00 AM</t>
  </si>
  <si>
    <t>12:45:00 AM</t>
  </si>
  <si>
    <t>12:50:00 AM</t>
  </si>
  <si>
    <t>12:55:00 AM</t>
  </si>
  <si>
    <t>1:00:00 AM</t>
  </si>
  <si>
    <t>1:05:00 AM</t>
  </si>
  <si>
    <t>1:10:00 AM</t>
  </si>
  <si>
    <t>1:15:00 AM</t>
  </si>
  <si>
    <t>1:20:00 AM</t>
  </si>
  <si>
    <t>1:25:00 AM</t>
  </si>
  <si>
    <t>1:30:00 AM</t>
  </si>
  <si>
    <t>1:35:00 AM</t>
  </si>
  <si>
    <t>1:40:00 AM</t>
  </si>
  <si>
    <t>1:45:00 AM</t>
  </si>
  <si>
    <t>1:50:00 AM</t>
  </si>
  <si>
    <t>1:55:00 AM</t>
  </si>
  <si>
    <t>2:00:00 AM</t>
  </si>
  <si>
    <t>2:05:00 AM</t>
  </si>
  <si>
    <t>2:10:00 AM</t>
  </si>
  <si>
    <t>2:15:00 AM</t>
  </si>
  <si>
    <t>2:20:00 AM</t>
  </si>
  <si>
    <t>2:25:00 AM</t>
  </si>
  <si>
    <t>2:30:00 AM</t>
  </si>
  <si>
    <t>2:35:00 AM</t>
  </si>
  <si>
    <t>2:40:00 AM</t>
  </si>
  <si>
    <t>2:45:00 AM</t>
  </si>
  <si>
    <t>2:50:00 AM</t>
  </si>
  <si>
    <t>2:55:00 AM</t>
  </si>
  <si>
    <t>3:00:00 AM</t>
  </si>
  <si>
    <t>3:05:00 AM</t>
  </si>
  <si>
    <t>3:10:00 AM</t>
  </si>
  <si>
    <t>3:15:00 AM</t>
  </si>
  <si>
    <t>3:20:00 AM</t>
  </si>
  <si>
    <t>3:25:00 AM</t>
  </si>
  <si>
    <t>3:30:00 AM</t>
  </si>
  <si>
    <t>3:35:00 AM</t>
  </si>
  <si>
    <t>3:40:00 AM</t>
  </si>
  <si>
    <t>3:45:00 AM</t>
  </si>
  <si>
    <t>3:50:00 AM</t>
  </si>
  <si>
    <t>3:55:00 AM</t>
  </si>
  <si>
    <t>4:00:00 AM</t>
  </si>
  <si>
    <t>4:05:00 AM</t>
  </si>
  <si>
    <t>4:10:00 AM</t>
  </si>
  <si>
    <t>4:15:00 AM</t>
  </si>
  <si>
    <t>4:20:00 AM</t>
  </si>
  <si>
    <t>4:25:00 AM</t>
  </si>
  <si>
    <t>4:30:00 AM</t>
  </si>
  <si>
    <t>4:35:00 AM</t>
  </si>
  <si>
    <t>4:40:00 AM</t>
  </si>
  <si>
    <t>4:45:00 AM</t>
  </si>
  <si>
    <t>4:50:00 AM</t>
  </si>
  <si>
    <t>4:55:00 AM</t>
  </si>
  <si>
    <t>5:00:00 AM</t>
  </si>
  <si>
    <t>5:05:00 AM</t>
  </si>
  <si>
    <t>5:10:00 AM</t>
  </si>
  <si>
    <t>5:15:00 AM</t>
  </si>
  <si>
    <t>5:20:00 AM</t>
  </si>
  <si>
    <t>5:25:00 AM</t>
  </si>
  <si>
    <t>5:30:00 AM</t>
  </si>
  <si>
    <t>5:35:00 AM</t>
  </si>
  <si>
    <t>5:40:00 AM</t>
  </si>
  <si>
    <t>5:45:00 AM</t>
  </si>
  <si>
    <t>5:50:00 AM</t>
  </si>
  <si>
    <t>5:55:00 AM</t>
  </si>
  <si>
    <t>6:00:00 AM</t>
  </si>
  <si>
    <t>6:05:00 AM</t>
  </si>
  <si>
    <t>6:10:00 AM</t>
  </si>
  <si>
    <t>6:15:00 AM</t>
  </si>
  <si>
    <t>6:20:00 AM</t>
  </si>
  <si>
    <t>6:25:00 AM</t>
  </si>
  <si>
    <t>6:30:00 AM</t>
  </si>
  <si>
    <t>6:35:00 AM</t>
  </si>
  <si>
    <t>6:40:00 AM</t>
  </si>
  <si>
    <t>6:45:00 AM</t>
  </si>
  <si>
    <t>6:50:00 AM</t>
  </si>
  <si>
    <t>6:55:00 AM</t>
  </si>
  <si>
    <t>7:00:00 AM</t>
  </si>
  <si>
    <t>7:05:00 AM</t>
  </si>
  <si>
    <t>7:10:00 AM</t>
  </si>
  <si>
    <t>7:15:00 AM</t>
  </si>
  <si>
    <t>7:20:00 AM</t>
  </si>
  <si>
    <t>7:25:00 AM</t>
  </si>
  <si>
    <t>7:30:00 AM</t>
  </si>
  <si>
    <t>7:35:00 AM</t>
  </si>
  <si>
    <t>7:40:00 AM</t>
  </si>
  <si>
    <t>7:45:00 AM</t>
  </si>
  <si>
    <t>7:50:00 AM</t>
  </si>
  <si>
    <t>7:55:00 AM</t>
  </si>
  <si>
    <t>8:00:00 AM</t>
  </si>
  <si>
    <t>8:05:00 AM</t>
  </si>
  <si>
    <t>8:10:00 AM</t>
  </si>
  <si>
    <t>8:15:00 AM</t>
  </si>
  <si>
    <t>8:20:00 AM</t>
  </si>
  <si>
    <t>8:25:00 AM</t>
  </si>
  <si>
    <t>8:30:00 AM</t>
  </si>
  <si>
    <t>8:35:00 AM</t>
  </si>
  <si>
    <t>8:40:00 AM</t>
  </si>
  <si>
    <t>8:45:00 AM</t>
  </si>
  <si>
    <t>8:50:00 AM</t>
  </si>
  <si>
    <t>8:55:00 AM</t>
  </si>
  <si>
    <t>9:00:00 AM</t>
  </si>
  <si>
    <t>9:05:00 AM</t>
  </si>
  <si>
    <t>9:10:00 AM</t>
  </si>
  <si>
    <t>9:15:00 AM</t>
  </si>
  <si>
    <t>9:20:00 AM</t>
  </si>
  <si>
    <t>9:25:00 AM</t>
  </si>
  <si>
    <t>9:30:00 AM</t>
  </si>
  <si>
    <t>9:35:00 AM</t>
  </si>
  <si>
    <t>9:40:00 AM</t>
  </si>
  <si>
    <t>9:45:00 AM</t>
  </si>
  <si>
    <t>9:50:00 AM</t>
  </si>
  <si>
    <t>9:55:00 AM</t>
  </si>
  <si>
    <t>10:00:00 AM</t>
  </si>
  <si>
    <t>10:05:00 AM</t>
  </si>
  <si>
    <t>10:10:00 AM</t>
  </si>
  <si>
    <t>10:15:00 AM</t>
  </si>
  <si>
    <t>10:20:00 AM</t>
  </si>
  <si>
    <t>10:25:00 AM</t>
  </si>
  <si>
    <t>10:30:00 AM</t>
  </si>
  <si>
    <t>10:35:00 AM</t>
  </si>
  <si>
    <t>10:40:00 AM</t>
  </si>
  <si>
    <t>10:45:00 AM</t>
  </si>
  <si>
    <t>10:50:00 AM</t>
  </si>
  <si>
    <t>10:55:00 AM</t>
  </si>
  <si>
    <t>11:00:00 AM</t>
  </si>
  <si>
    <t>11:05:00 AM</t>
  </si>
  <si>
    <t>11:10:00 AM</t>
  </si>
  <si>
    <t>11:15:00 AM</t>
  </si>
  <si>
    <t>11:20:00 AM</t>
  </si>
  <si>
    <t>11:25:00 AM</t>
  </si>
  <si>
    <t>11:30:00 AM</t>
  </si>
  <si>
    <t>11:35:00 AM</t>
  </si>
  <si>
    <t>11:40:00 AM</t>
  </si>
  <si>
    <t>11:45:00 AM</t>
  </si>
  <si>
    <t>11:50:00 AM</t>
  </si>
  <si>
    <t>11:55:00 AM</t>
  </si>
  <si>
    <t>12:00:00 PM</t>
  </si>
  <si>
    <t>12:05:00 PM</t>
  </si>
  <si>
    <t>12:10:00 PM</t>
  </si>
  <si>
    <t>12:15:00 PM</t>
  </si>
  <si>
    <t>12:20:00 PM</t>
  </si>
  <si>
    <t>12:25:00 PM</t>
  </si>
  <si>
    <t>12:30:00 PM</t>
  </si>
  <si>
    <t>12:35:00 PM</t>
  </si>
  <si>
    <t>12:40:00 PM</t>
  </si>
  <si>
    <t>12:45:00 PM</t>
  </si>
  <si>
    <t>12:50:00 PM</t>
  </si>
  <si>
    <t>12:55:00 PM</t>
  </si>
  <si>
    <t>1:00:00 PM</t>
  </si>
  <si>
    <t>1:05:00 PM</t>
  </si>
  <si>
    <t>1:10:00 PM</t>
  </si>
  <si>
    <t>1:15:00 PM</t>
  </si>
  <si>
    <t>1:20:00 PM</t>
  </si>
  <si>
    <t>1:25:00 PM</t>
  </si>
  <si>
    <t>1:30:00 PM</t>
  </si>
  <si>
    <t>1:35:00 PM</t>
  </si>
  <si>
    <t>1:40:00 PM</t>
  </si>
  <si>
    <t>1:45:00 PM</t>
  </si>
  <si>
    <t>1:50:00 PM</t>
  </si>
  <si>
    <t>1:55:00 PM</t>
  </si>
  <si>
    <t>2:00:00 PM</t>
  </si>
  <si>
    <t>2:05:00 PM</t>
  </si>
  <si>
    <t>2:10:00 PM</t>
  </si>
  <si>
    <t>2:15:00 PM</t>
  </si>
  <si>
    <t>2:20:00 PM</t>
  </si>
  <si>
    <t>2:25:00 PM</t>
  </si>
  <si>
    <t>2:30:00 PM</t>
  </si>
  <si>
    <t>2:35:00 PM</t>
  </si>
  <si>
    <t>2:40:00 PM</t>
  </si>
  <si>
    <t>2:45:00 PM</t>
  </si>
  <si>
    <t>2:50:00 PM</t>
  </si>
  <si>
    <t>2:55:00 PM</t>
  </si>
  <si>
    <t>3:00:00 PM</t>
  </si>
  <si>
    <t>3:05:00 PM</t>
  </si>
  <si>
    <t>3:10:00 PM</t>
  </si>
  <si>
    <t>3:15:00 PM</t>
  </si>
  <si>
    <t>3:20:00 PM</t>
  </si>
  <si>
    <t>3:25:00 PM</t>
  </si>
  <si>
    <t>3:30:00 PM</t>
  </si>
  <si>
    <t>3:35:00 PM</t>
  </si>
  <si>
    <t>3:40:00 PM</t>
  </si>
  <si>
    <t>3:45:00 PM</t>
  </si>
  <si>
    <t>3:50:00 PM</t>
  </si>
  <si>
    <t>3:55:00 PM</t>
  </si>
  <si>
    <t>4:00:00 PM</t>
  </si>
  <si>
    <t>4:05:00 PM</t>
  </si>
  <si>
    <t>4:10:00 PM</t>
  </si>
  <si>
    <t>4:15:00 PM</t>
  </si>
  <si>
    <t>4:20:00 PM</t>
  </si>
  <si>
    <t>4:25:00 PM</t>
  </si>
  <si>
    <t>4:30:00 PM</t>
  </si>
  <si>
    <t>4:35:00 PM</t>
  </si>
  <si>
    <t>4:40:00 PM</t>
  </si>
  <si>
    <t>4:45:00 PM</t>
  </si>
  <si>
    <t>4:50:00 PM</t>
  </si>
  <si>
    <t>4:55:00 PM</t>
  </si>
  <si>
    <t>5:00:00 PM</t>
  </si>
  <si>
    <t>5:05:00 PM</t>
  </si>
  <si>
    <t>5:10:00 PM</t>
  </si>
  <si>
    <t>5:15:00 PM</t>
  </si>
  <si>
    <t>5:20:00 PM</t>
  </si>
  <si>
    <t>5:25:00 PM</t>
  </si>
  <si>
    <t>5:30:00 PM</t>
  </si>
  <si>
    <t>5:35:00 PM</t>
  </si>
  <si>
    <t>5:40:00 PM</t>
  </si>
  <si>
    <t>5:45:00 PM</t>
  </si>
  <si>
    <t>5:50:00 PM</t>
  </si>
  <si>
    <t>5:55:00 PM</t>
  </si>
  <si>
    <t>6:00:00 PM</t>
  </si>
  <si>
    <t>6:05:00 PM</t>
  </si>
  <si>
    <t>6:10:00 PM</t>
  </si>
  <si>
    <t>6:15:00 PM</t>
  </si>
  <si>
    <t>6:20:00 PM</t>
  </si>
  <si>
    <t>6:25:00 PM</t>
  </si>
  <si>
    <t>6:30:00 PM</t>
  </si>
  <si>
    <t>6:35:00 PM</t>
  </si>
  <si>
    <t>6:40:00 PM</t>
  </si>
  <si>
    <t>6:45:00 PM</t>
  </si>
  <si>
    <t>6:50:00 PM</t>
  </si>
  <si>
    <t>6:55:00 PM</t>
  </si>
  <si>
    <t>7:00:00 PM</t>
  </si>
  <si>
    <t>7:05:00 PM</t>
  </si>
  <si>
    <t>7:10:00 PM</t>
  </si>
  <si>
    <t>7:15:00 PM</t>
  </si>
  <si>
    <t>7:20:00 PM</t>
  </si>
  <si>
    <t>7:25:00 PM</t>
  </si>
  <si>
    <t>7:30:00 PM</t>
  </si>
  <si>
    <t>7:35:00 PM</t>
  </si>
  <si>
    <t>7:40:00 PM</t>
  </si>
  <si>
    <t>7:45:00 PM</t>
  </si>
  <si>
    <t>7:50:00 PM</t>
  </si>
  <si>
    <t>7:55:00 PM</t>
  </si>
  <si>
    <t>8:00:00 PM</t>
  </si>
  <si>
    <t>8:05:00 PM</t>
  </si>
  <si>
    <t>8:10:00 PM</t>
  </si>
  <si>
    <t>8:15:00 PM</t>
  </si>
  <si>
    <t>8:20:00 PM</t>
  </si>
  <si>
    <t>8:25:00 PM</t>
  </si>
  <si>
    <t>8:30:00 PM</t>
  </si>
  <si>
    <t>8:35:00 PM</t>
  </si>
  <si>
    <t>8:40:00 PM</t>
  </si>
  <si>
    <t>8:45:00 PM</t>
  </si>
  <si>
    <t>8:50:00 PM</t>
  </si>
  <si>
    <t>8:55:00 PM</t>
  </si>
  <si>
    <t>9:00:00 PM</t>
  </si>
  <si>
    <t>9:05:00 PM</t>
  </si>
  <si>
    <t>9:10:00 PM</t>
  </si>
  <si>
    <t>9:15:00 PM</t>
  </si>
  <si>
    <t>9:20:00 PM</t>
  </si>
  <si>
    <t>9:25:00 PM</t>
  </si>
  <si>
    <t>9:30:00 PM</t>
  </si>
  <si>
    <t>9:35:00 PM</t>
  </si>
  <si>
    <t>9:40:00 PM</t>
  </si>
  <si>
    <t>9:45:00 PM</t>
  </si>
  <si>
    <t>9:50:00 PM</t>
  </si>
  <si>
    <t>9:55:00 PM</t>
  </si>
  <si>
    <t>10:00:00 PM</t>
  </si>
  <si>
    <t>10:05:00 PM</t>
  </si>
  <si>
    <t>10:10:00 PM</t>
  </si>
  <si>
    <t>10:15:00 PM</t>
  </si>
  <si>
    <t>10:20:00 PM</t>
  </si>
  <si>
    <t>10:25:00 PM</t>
  </si>
  <si>
    <t>10:30:00 PM</t>
  </si>
  <si>
    <t>10:35:00 PM</t>
  </si>
  <si>
    <t>10:40:00 PM</t>
  </si>
  <si>
    <t>10:45:00 PM</t>
  </si>
  <si>
    <t>10:50:00 PM</t>
  </si>
  <si>
    <t>10:55:00 PM</t>
  </si>
  <si>
    <t>11:00:00 PM</t>
  </si>
  <si>
    <t>11:05:00 PM</t>
  </si>
  <si>
    <t>11:10:00 PM</t>
  </si>
  <si>
    <t>11:15:00 PM</t>
  </si>
  <si>
    <t>11:20:00 PM</t>
  </si>
  <si>
    <t>11:25:00 PM</t>
  </si>
  <si>
    <t>11:30:00 PM</t>
  </si>
  <si>
    <t>11:35:00 PM</t>
  </si>
  <si>
    <t>11:40:00 PM</t>
  </si>
  <si>
    <t>11:45:00 PM</t>
  </si>
  <si>
    <t>11:50:00 PM</t>
  </si>
  <si>
    <t>11:55:00 PM</t>
  </si>
  <si>
    <t>24:00:00 AM</t>
  </si>
  <si>
    <t>MQ (MW)</t>
  </si>
  <si>
    <t xml:space="preserve">      </t>
  </si>
  <si>
    <t>Source.Name</t>
  </si>
  <si>
    <t>LMP (Php/MWh)</t>
  </si>
  <si>
    <t>SALES</t>
  </si>
  <si>
    <t>PURCHASE</t>
  </si>
  <si>
    <t>TOTAL</t>
  </si>
  <si>
    <t>AVERAGE</t>
  </si>
  <si>
    <t>Mean Absolute Percentage Error (MAPE)</t>
  </si>
  <si>
    <t>Percentile 95 (PERC95)</t>
  </si>
  <si>
    <t>PROJECTED QUANTITY</t>
  </si>
  <si>
    <t>Real-Time Dispatch (RTD), MW</t>
  </si>
  <si>
    <t>Actual Dispatch, MW</t>
  </si>
  <si>
    <t>Actual Load, MW</t>
  </si>
  <si>
    <r>
      <t>Irradiance, W/m</t>
    </r>
    <r>
      <rPr>
        <sz val="11"/>
        <color theme="1"/>
        <rFont val="Calibri"/>
        <family val="2"/>
      </rPr>
      <t>²</t>
    </r>
  </si>
  <si>
    <t>Locational Marginal Price (LMP), Php</t>
  </si>
  <si>
    <t>Trading Amount, Php</t>
  </si>
  <si>
    <t>TRADING SUMMARY</t>
  </si>
  <si>
    <t>COMPLIANCE</t>
  </si>
  <si>
    <t>TOTAL TRADING AMOUNT (TTA)</t>
  </si>
  <si>
    <t>MIN</t>
  </si>
  <si>
    <t>MAX</t>
  </si>
  <si>
    <t>INITIAL LOADING</t>
  </si>
  <si>
    <t>FORECAST PERCENTAGE ERROR</t>
  </si>
  <si>
    <t>Total Number of Intervals:</t>
  </si>
  <si>
    <t>Maximum MQ:</t>
  </si>
  <si>
    <t>FPE</t>
  </si>
  <si>
    <t>For PERC95:</t>
  </si>
  <si>
    <t>1. p(N+1) = k+d</t>
  </si>
  <si>
    <t>p</t>
  </si>
  <si>
    <t>N</t>
  </si>
  <si>
    <t>k+d</t>
  </si>
  <si>
    <t>k</t>
  </si>
  <si>
    <t>d</t>
  </si>
  <si>
    <t>2. Yp = Yk + [d] [(Yk + 1) - Yk]</t>
  </si>
  <si>
    <t>Yk</t>
  </si>
  <si>
    <t>Yk+1</t>
  </si>
  <si>
    <t>arrange all FPE from smallest to largest then get the value of Yk and Yk+1 from column J</t>
  </si>
  <si>
    <t>Yk (274th)</t>
  </si>
  <si>
    <t>Yk (275th)</t>
  </si>
  <si>
    <t>Yp (95%)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</si>
  <si>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</si>
  <si>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</si>
  <si>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</si>
  <si>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</si>
  <si>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</si>
  <si>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</si>
  <si>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</si>
  <si>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</si>
  <si>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</si>
  <si>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</si>
  <si>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</si>
  <si>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</si>
  <si>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13th</t>
  </si>
  <si>
    <t>14th</t>
  </si>
  <si>
    <t>15th</t>
  </si>
  <si>
    <t>16th</t>
  </si>
  <si>
    <t>17th</t>
  </si>
  <si>
    <t>18th</t>
  </si>
  <si>
    <t>19th</t>
  </si>
  <si>
    <t>20th</t>
  </si>
  <si>
    <t>21st</t>
  </si>
  <si>
    <t>22nd</t>
  </si>
  <si>
    <t>23rd</t>
  </si>
  <si>
    <t>24th</t>
  </si>
  <si>
    <t>25th</t>
  </si>
  <si>
    <t>26th</t>
  </si>
  <si>
    <t>27th</t>
  </si>
  <si>
    <t>28th</t>
  </si>
  <si>
    <t>29th</t>
  </si>
  <si>
    <t>30th</t>
  </si>
  <si>
    <t>31st</t>
  </si>
  <si>
    <t>32nd</t>
  </si>
  <si>
    <t>33rd</t>
  </si>
  <si>
    <t>34th</t>
  </si>
  <si>
    <t>35th</t>
  </si>
  <si>
    <t>36th</t>
  </si>
  <si>
    <t>37th</t>
  </si>
  <si>
    <t>38th</t>
  </si>
  <si>
    <t>39th</t>
  </si>
  <si>
    <t>40th</t>
  </si>
  <si>
    <t>41st</t>
  </si>
  <si>
    <t>42nd</t>
  </si>
  <si>
    <t>43rd</t>
  </si>
  <si>
    <t>44th</t>
  </si>
  <si>
    <t>45th</t>
  </si>
  <si>
    <t>46th</t>
  </si>
  <si>
    <t>47th</t>
  </si>
  <si>
    <t>48th</t>
  </si>
  <si>
    <t>49th</t>
  </si>
  <si>
    <t>50th</t>
  </si>
  <si>
    <t>51st</t>
  </si>
  <si>
    <t>52nd</t>
  </si>
  <si>
    <t>53rd</t>
  </si>
  <si>
    <t>54th</t>
  </si>
  <si>
    <t>55th</t>
  </si>
  <si>
    <t>56th</t>
  </si>
  <si>
    <t>57th</t>
  </si>
  <si>
    <t>58th</t>
  </si>
  <si>
    <t>59th</t>
  </si>
  <si>
    <t>60th</t>
  </si>
  <si>
    <t>61st</t>
  </si>
  <si>
    <t>62nd</t>
  </si>
  <si>
    <t>63rd</t>
  </si>
  <si>
    <t>64th</t>
  </si>
  <si>
    <t>65th</t>
  </si>
  <si>
    <t>66th</t>
  </si>
  <si>
    <t>67th</t>
  </si>
  <si>
    <t>68th</t>
  </si>
  <si>
    <t>69th</t>
  </si>
  <si>
    <t>70th</t>
  </si>
  <si>
    <t>71st</t>
  </si>
  <si>
    <t>72nd</t>
  </si>
  <si>
    <t>73rd</t>
  </si>
  <si>
    <t>74th</t>
  </si>
  <si>
    <t>75th</t>
  </si>
  <si>
    <t>76th</t>
  </si>
  <si>
    <t>77th</t>
  </si>
  <si>
    <t>78th</t>
  </si>
  <si>
    <t>79th</t>
  </si>
  <si>
    <t>80th</t>
  </si>
  <si>
    <t>81st</t>
  </si>
  <si>
    <t>82nd</t>
  </si>
  <si>
    <t>83rd</t>
  </si>
  <si>
    <t>84th</t>
  </si>
  <si>
    <t>85th</t>
  </si>
  <si>
    <t>86th</t>
  </si>
  <si>
    <t>87th</t>
  </si>
  <si>
    <t>88th</t>
  </si>
  <si>
    <t>89th</t>
  </si>
  <si>
    <t>90th</t>
  </si>
  <si>
    <t>91st</t>
  </si>
  <si>
    <t>92nd</t>
  </si>
  <si>
    <t>93rd</t>
  </si>
  <si>
    <t>94th</t>
  </si>
  <si>
    <t>95th</t>
  </si>
  <si>
    <t>96th</t>
  </si>
  <si>
    <t>97th</t>
  </si>
  <si>
    <t>98th</t>
  </si>
  <si>
    <t>99th</t>
  </si>
  <si>
    <t>100th</t>
  </si>
  <si>
    <t>101st</t>
  </si>
  <si>
    <t>102nd</t>
  </si>
  <si>
    <t>103rd</t>
  </si>
  <si>
    <t>104th</t>
  </si>
  <si>
    <t>105th</t>
  </si>
  <si>
    <t>106th</t>
  </si>
  <si>
    <t>107th</t>
  </si>
  <si>
    <t>108th</t>
  </si>
  <si>
    <t>109th</t>
  </si>
  <si>
    <t>110th</t>
  </si>
  <si>
    <t>111th</t>
  </si>
  <si>
    <t>112th</t>
  </si>
  <si>
    <t>113th</t>
  </si>
  <si>
    <t>114th</t>
  </si>
  <si>
    <t>115th</t>
  </si>
  <si>
    <t>116th</t>
  </si>
  <si>
    <t>117th</t>
  </si>
  <si>
    <t>118th</t>
  </si>
  <si>
    <t>119th</t>
  </si>
  <si>
    <t>120th</t>
  </si>
  <si>
    <t>121st</t>
  </si>
  <si>
    <t>122nd</t>
  </si>
  <si>
    <t>123rd</t>
  </si>
  <si>
    <t>124th</t>
  </si>
  <si>
    <t>125th</t>
  </si>
  <si>
    <t>126th</t>
  </si>
  <si>
    <t>127th</t>
  </si>
  <si>
    <t>128th</t>
  </si>
  <si>
    <t>129th</t>
  </si>
  <si>
    <t>130th</t>
  </si>
  <si>
    <t>131st</t>
  </si>
  <si>
    <t>132nd</t>
  </si>
  <si>
    <t>133rd</t>
  </si>
  <si>
    <t>134th</t>
  </si>
  <si>
    <t>135th</t>
  </si>
  <si>
    <t>136th</t>
  </si>
  <si>
    <t>137th</t>
  </si>
  <si>
    <t>138th</t>
  </si>
  <si>
    <t>139th</t>
  </si>
  <si>
    <t>140th</t>
  </si>
  <si>
    <t>141st</t>
  </si>
  <si>
    <t>142nd</t>
  </si>
  <si>
    <t>143rd</t>
  </si>
  <si>
    <t>144th</t>
  </si>
  <si>
    <t>145th</t>
  </si>
  <si>
    <t>146th</t>
  </si>
  <si>
    <t>147th</t>
  </si>
  <si>
    <t>148th</t>
  </si>
  <si>
    <t>149th</t>
  </si>
  <si>
    <t>150th</t>
  </si>
  <si>
    <t>151st</t>
  </si>
  <si>
    <t>152nd</t>
  </si>
  <si>
    <t>153rd</t>
  </si>
  <si>
    <t>154th</t>
  </si>
  <si>
    <t>155th</t>
  </si>
  <si>
    <t>156th</t>
  </si>
  <si>
    <t>157th</t>
  </si>
  <si>
    <t>158th</t>
  </si>
  <si>
    <t>159th</t>
  </si>
  <si>
    <t>160th</t>
  </si>
  <si>
    <t>161st</t>
  </si>
  <si>
    <t>162nd</t>
  </si>
  <si>
    <t>163rd</t>
  </si>
  <si>
    <t>164th</t>
  </si>
  <si>
    <t>165th</t>
  </si>
  <si>
    <t>166th</t>
  </si>
  <si>
    <t>167th</t>
  </si>
  <si>
    <t>168th</t>
  </si>
  <si>
    <t>169th</t>
  </si>
  <si>
    <t>170th</t>
  </si>
  <si>
    <t>171st</t>
  </si>
  <si>
    <t>172nd</t>
  </si>
  <si>
    <t>173rd</t>
  </si>
  <si>
    <t>174th</t>
  </si>
  <si>
    <t>175th</t>
  </si>
  <si>
    <t>176th</t>
  </si>
  <si>
    <t>177th</t>
  </si>
  <si>
    <t>178th</t>
  </si>
  <si>
    <t>179th</t>
  </si>
  <si>
    <t>180th</t>
  </si>
  <si>
    <t>181st</t>
  </si>
  <si>
    <t>182nd</t>
  </si>
  <si>
    <t>183rd</t>
  </si>
  <si>
    <t>184th</t>
  </si>
  <si>
    <t>185th</t>
  </si>
  <si>
    <t>186th</t>
  </si>
  <si>
    <t>187th</t>
  </si>
  <si>
    <t>188th</t>
  </si>
  <si>
    <t>189th</t>
  </si>
  <si>
    <t>190th</t>
  </si>
  <si>
    <t>191st</t>
  </si>
  <si>
    <t>192nd</t>
  </si>
  <si>
    <t>193rd</t>
  </si>
  <si>
    <t>194th</t>
  </si>
  <si>
    <t>195th</t>
  </si>
  <si>
    <t>196th</t>
  </si>
  <si>
    <t>197th</t>
  </si>
  <si>
    <t>198th</t>
  </si>
  <si>
    <t>199th</t>
  </si>
  <si>
    <t>200th</t>
  </si>
  <si>
    <t>201st</t>
  </si>
  <si>
    <t>202nd</t>
  </si>
  <si>
    <t>203rd</t>
  </si>
  <si>
    <t>204th</t>
  </si>
  <si>
    <t>205th</t>
  </si>
  <si>
    <t>206th</t>
  </si>
  <si>
    <t>207th</t>
  </si>
  <si>
    <t>208th</t>
  </si>
  <si>
    <t>209th</t>
  </si>
  <si>
    <t>210th</t>
  </si>
  <si>
    <t>211th</t>
  </si>
  <si>
    <t>212th</t>
  </si>
  <si>
    <t>213th</t>
  </si>
  <si>
    <t>214th</t>
  </si>
  <si>
    <t>215th</t>
  </si>
  <si>
    <t>216th</t>
  </si>
  <si>
    <t>217th</t>
  </si>
  <si>
    <t>218th</t>
  </si>
  <si>
    <t>219th</t>
  </si>
  <si>
    <t>220th</t>
  </si>
  <si>
    <t>221st</t>
  </si>
  <si>
    <t>222nd</t>
  </si>
  <si>
    <t>223rd</t>
  </si>
  <si>
    <t>224th</t>
  </si>
  <si>
    <t>225th</t>
  </si>
  <si>
    <t>226th</t>
  </si>
  <si>
    <t>227th</t>
  </si>
  <si>
    <t>228th</t>
  </si>
  <si>
    <t>229th</t>
  </si>
  <si>
    <t>230th</t>
  </si>
  <si>
    <t>231st</t>
  </si>
  <si>
    <t>232nd</t>
  </si>
  <si>
    <t>233rd</t>
  </si>
  <si>
    <t>234th</t>
  </si>
  <si>
    <t>235th</t>
  </si>
  <si>
    <t>236th</t>
  </si>
  <si>
    <t>237th</t>
  </si>
  <si>
    <t>238th</t>
  </si>
  <si>
    <t>239th</t>
  </si>
  <si>
    <t>240th</t>
  </si>
  <si>
    <t>241st</t>
  </si>
  <si>
    <t>242nd</t>
  </si>
  <si>
    <t>243rd</t>
  </si>
  <si>
    <t>244th</t>
  </si>
  <si>
    <t>245th</t>
  </si>
  <si>
    <t>246th</t>
  </si>
  <si>
    <t>247th</t>
  </si>
  <si>
    <t>248th</t>
  </si>
  <si>
    <t>249th</t>
  </si>
  <si>
    <t>250th</t>
  </si>
  <si>
    <t>251st</t>
  </si>
  <si>
    <t>252nd</t>
  </si>
  <si>
    <t>253rd</t>
  </si>
  <si>
    <t>254th</t>
  </si>
  <si>
    <t>255th</t>
  </si>
  <si>
    <t>256th</t>
  </si>
  <si>
    <t>257th</t>
  </si>
  <si>
    <t>258th</t>
  </si>
  <si>
    <t>259th</t>
  </si>
  <si>
    <t>260th</t>
  </si>
  <si>
    <t>261st</t>
  </si>
  <si>
    <t>262nd</t>
  </si>
  <si>
    <t>263rd</t>
  </si>
  <si>
    <t>264th</t>
  </si>
  <si>
    <t>265th</t>
  </si>
  <si>
    <t>266th</t>
  </si>
  <si>
    <t>267th</t>
  </si>
  <si>
    <t>268th</t>
  </si>
  <si>
    <t>269th</t>
  </si>
  <si>
    <t>270th</t>
  </si>
  <si>
    <t>271st</t>
  </si>
  <si>
    <t>272nd</t>
  </si>
  <si>
    <t>273rd</t>
  </si>
  <si>
    <t>274th</t>
  </si>
  <si>
    <t>275th</t>
  </si>
  <si>
    <t>276th</t>
  </si>
  <si>
    <t>277th</t>
  </si>
  <si>
    <t>278th</t>
  </si>
  <si>
    <t>279th</t>
  </si>
  <si>
    <t>280th</t>
  </si>
  <si>
    <t>281st</t>
  </si>
  <si>
    <t>282nd</t>
  </si>
  <si>
    <t>283rd</t>
  </si>
  <si>
    <t>284th</t>
  </si>
  <si>
    <t>285th</t>
  </si>
  <si>
    <t>286th</t>
  </si>
  <si>
    <t>287th</t>
  </si>
  <si>
    <t>288th</t>
  </si>
  <si>
    <t>MAPE</t>
  </si>
  <si>
    <t>PERC95</t>
  </si>
  <si>
    <t xml:space="preserve">                           Delivered</t>
  </si>
  <si>
    <t xml:space="preserve">                           Received</t>
  </si>
  <si>
    <t xml:space="preserve">                          Sales (Positive)</t>
  </si>
  <si>
    <t xml:space="preserve">                          Purchase (Negative)</t>
  </si>
  <si>
    <t>Energy Sales</t>
  </si>
  <si>
    <t>PERCENT 95:</t>
  </si>
  <si>
    <t>ESTIMATED REVENUE</t>
  </si>
  <si>
    <t>Note:</t>
  </si>
  <si>
    <t>Estimated Revenue = Daily MQ x LMP</t>
  </si>
  <si>
    <t>Estimated Revenue is for reference only. Final Settlement Amount will be based on IEMOP Statement of Account at the end of the billing period.</t>
  </si>
  <si>
    <t>Energy Sales = Amount of generated energy sold to WESM</t>
  </si>
  <si>
    <t>Energy Purchase = Amount of energy consumed for substation use</t>
  </si>
  <si>
    <t>AVE</t>
  </si>
  <si>
    <t>MQ DEL</t>
  </si>
  <si>
    <t>MQ REC</t>
  </si>
  <si>
    <t>Total</t>
  </si>
  <si>
    <t>Minimum</t>
  </si>
  <si>
    <t>Average</t>
  </si>
  <si>
    <t>Maximum</t>
  </si>
  <si>
    <t>RTD (MW)</t>
  </si>
  <si>
    <t>ACTUAL DISPATCH (MW)</t>
  </si>
  <si>
    <t>2. Enter traders on duty  (initials and full surname)</t>
  </si>
  <si>
    <t>2. DAP and WAP</t>
  </si>
  <si>
    <t>- Download of attachment from email and acknowledgement of email</t>
  </si>
  <si>
    <t>- Submit to MPI</t>
  </si>
  <si>
    <t>- Create of new file</t>
  </si>
  <si>
    <t>3. Revise bid/s per Plant Operator's advise and and record bid details to the Daily Trading Summary</t>
  </si>
  <si>
    <t>4. Download and paste of the following to the Daily Trading Summary:</t>
  </si>
  <si>
    <t>- RTD and Actual Dispatch (from MPI)</t>
  </si>
  <si>
    <t>- Actual Load and Irradiance (from Plant)</t>
  </si>
  <si>
    <t>5. Login on CPEMS, checking of reports for non-compliance and upload of plant attachments</t>
  </si>
  <si>
    <t>6. Send RTD and Actual Dispatch to Plant Operators</t>
  </si>
  <si>
    <t>1. Revise bid/s per Plant Operator's advise and and record bid details to the Daily Trading Summary</t>
  </si>
  <si>
    <t>2. Download and paste of the following to the Daily Trading Summary:</t>
  </si>
  <si>
    <t>3. Send RTD and Actual Dispatch to Plant Operators</t>
  </si>
  <si>
    <t>4. Download, copy and paste of the following to the Daily Trading Summary of the previous trading day:</t>
  </si>
  <si>
    <t>- RTD Prices and Schedule (from IEMOP website)</t>
  </si>
  <si>
    <t>- MQ (from CRSS)</t>
  </si>
  <si>
    <t>5. Printing of Summary_for print (PDF and hard copy)</t>
  </si>
  <si>
    <t>- sending of PDF to xupan@xdned.com, plant operators, cc: fangwei@xdned.com</t>
  </si>
  <si>
    <t>- hard copy for signature of traders on duty and file</t>
  </si>
  <si>
    <t>1. Enter trading date (ddmmyyyy)</t>
  </si>
  <si>
    <t>- MPI Advisories (from IEMOP website)</t>
  </si>
  <si>
    <t xml:space="preserve">Forecast Accuracy Standards: </t>
  </si>
  <si>
    <t>TA = Trading Amount， Php</t>
  </si>
  <si>
    <t>1. Create new file folder and excel file then edit filename according to the trading date</t>
  </si>
  <si>
    <t>ACTUAL LOAD FROM PLANT (MW)</t>
  </si>
  <si>
    <t>RTD
(MW)</t>
  </si>
  <si>
    <r>
      <t>IRRADIANCE
(W/m</t>
    </r>
    <r>
      <rPr>
        <b/>
        <sz val="14"/>
        <color theme="1"/>
        <rFont val="等线"/>
      </rPr>
      <t>2)</t>
    </r>
  </si>
  <si>
    <t>ACTUAL DISPATCH (MWh)</t>
  </si>
  <si>
    <t>ACTUAL LOAD FROM PLANT (MWh)</t>
  </si>
  <si>
    <t>ACTUAL LOAD (MW)</t>
  </si>
  <si>
    <t>ACTUAL LOAD (MWh)</t>
  </si>
  <si>
    <t>Metered Quantities (MQ), MWh</t>
  </si>
  <si>
    <t>Actual Dispatch, MWh</t>
  </si>
  <si>
    <t>Actual Load, MWh</t>
  </si>
  <si>
    <t>RTD (MWh)</t>
  </si>
  <si>
    <t>RTD
(MWh)</t>
  </si>
  <si>
    <t>Real-Time Dispatch (RTD), MWh</t>
  </si>
  <si>
    <t>RTD = Real Time Dispatch, MWh</t>
  </si>
  <si>
    <t>AD = Actual Dispatch, MWh</t>
  </si>
  <si>
    <t>AL = Actual Load from the Plant, MWh</t>
  </si>
  <si>
    <t>MQ = Metered Quantities, MWh</t>
  </si>
  <si>
    <t>DEL = Energy generated and metered by the plant</t>
  </si>
  <si>
    <t>REC = Energy consumed and metered for station use</t>
  </si>
  <si>
    <t>RTD, AD, AL and MQ are based on average quantities.</t>
  </si>
  <si>
    <t>MAPE must be &lt;18%, PERCENT 95 must be &lt;30%</t>
  </si>
  <si>
    <t>B.Grimm Power</t>
  </si>
  <si>
    <t>Shift 1 (0600H-1800H)：</t>
  </si>
  <si>
    <t>DR Cosas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</si>
</sst>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&quot;₱&quot;#,##0.00;[Red]\-&quot;₱&quot;#,##0.00"/>
    <numFmt numFmtId="44" formatCode="_-&quot;₱&quot;* #,##0.00_-;\-&quot;₱&quot;* #,##0.00_-;_-&quot;₱&quot;* &quot;-&quot;??_-;_-@_-"/>
    <numFmt numFmtId="43" formatCode="_-* #,##0.00_-;\-* #,##0.00_-;_-* &quot;-&quot;??_-;_-@_-"/>
    <numFmt numFmtId="164" formatCode="0.00_);[Red]\(0.00\)"/>
    <numFmt numFmtId="165" formatCode="&quot;₱&quot;#,##0.00_);[Red]\(&quot;₱&quot;#,##0.00\)"/>
    <numFmt numFmtId="166" formatCode="[$-F800]dddd\,\ mmmm\ dd\,\ yyyy"/>
    <numFmt numFmtId="167" formatCode="_-* #,##0_-;\-* #,##0_-;_-* &quot;-&quot;??_-;_-@_-"/>
    <numFmt numFmtId="168" formatCode="_-* #,##0.000_-;\-* #,##0.000_-;_-* &quot;-&quot;??_-;_-@_-"/>
    <numFmt numFmtId="169" formatCode="&quot;₱&quot;#,##0.00"/>
    <numFmt numFmtId="170" formatCode="[$-F400]h:mm:ss\ AM/PM"/>
  </numFmts>
  <fonts count="58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4"/>
      <color theme="1"/>
      <name val="等线"/>
    </font>
    <font>
      <sz val="14"/>
      <color theme="1"/>
      <name val="Calibri"/>
      <family val="2"/>
      <scheme val="minor"/>
    </font>
    <font>
      <b/>
      <sz val="14"/>
      <color indexed="81"/>
      <name val="Tahoma"/>
      <family val="2"/>
    </font>
    <font>
      <sz val="14"/>
      <color indexed="81"/>
      <name val="Tahoma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6"/>
      <color indexed="81"/>
      <name val="Tahoma"/>
      <family val="2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</font>
    <font>
      <b/>
      <sz val="13"/>
      <color theme="1"/>
      <name val="Calibri"/>
      <family val="2"/>
      <scheme val="minor"/>
    </font>
    <font>
      <sz val="9"/>
      <color rgb="FF0065B0"/>
      <name val="Calibri"/>
      <family val="2"/>
      <scheme val="minor"/>
    </font>
    <font>
      <sz val="11"/>
      <color rgb="FF0065B0"/>
      <name val="Calibri"/>
      <family val="2"/>
      <scheme val="minor"/>
    </font>
    <font>
      <sz val="12"/>
      <color rgb="FF0065B0"/>
      <name val="Calibri"/>
      <family val="2"/>
      <scheme val="minor"/>
    </font>
    <font>
      <b/>
      <sz val="12"/>
      <color rgb="FF0065B0"/>
      <name val="Calibri"/>
      <family val="2"/>
      <scheme val="minor"/>
    </font>
    <font>
      <sz val="9"/>
      <color rgb="FFE63700"/>
      <name val="Calibri"/>
      <family val="2"/>
      <scheme val="minor"/>
    </font>
    <font>
      <sz val="11"/>
      <color rgb="FFE63700"/>
      <name val="Calibri"/>
      <family val="2"/>
      <scheme val="minor"/>
    </font>
    <font>
      <sz val="12"/>
      <color rgb="FFE637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4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0"/>
      <name val="Calibri"/>
      <family val="2"/>
    </font>
  </fonts>
  <fills count="3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22"/>
      </patternFill>
    </fill>
    <fill>
      <patternFill patternType="solid">
        <fgColor rgb="FFFF99CC"/>
        <bgColor indexed="64"/>
      </patternFill>
    </fill>
    <fill>
      <patternFill patternType="solid">
        <fgColor rgb="FFFFC5E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D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</cellStyleXfs>
  <cellXfs count="306">
    <xf numFmtId="0" fontId="0" fillId="0" borderId="0" xfId="0">
      <alignment vertical="center"/>
    </xf>
    <xf numFmtId="0" fontId="10" fillId="0" borderId="0" xfId="0" applyFont="1" applyAlignment="1">
      <alignment horizontal="center" vertical="center"/>
    </xf>
    <xf numFmtId="20" fontId="10" fillId="0" borderId="0" xfId="0" applyNumberFormat="1" applyFont="1" applyAlignment="1">
      <alignment horizontal="center" vertical="center"/>
    </xf>
    <xf numFmtId="0" fontId="11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1" fillId="0" borderId="1" xfId="0" applyFont="1" applyBorder="1">
      <alignment vertical="center"/>
    </xf>
    <xf numFmtId="164" fontId="11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20" fontId="10" fillId="0" borderId="1" xfId="0" applyNumberFormat="1" applyFont="1" applyBorder="1" applyAlignment="1">
      <alignment horizontal="center" vertical="center"/>
    </xf>
    <xf numFmtId="0" fontId="10" fillId="0" borderId="0" xfId="0" applyFont="1">
      <alignment vertical="center"/>
    </xf>
    <xf numFmtId="0" fontId="10" fillId="0" borderId="1" xfId="0" applyFont="1" applyBorder="1" applyAlignment="1">
      <alignment horizontal="center" vertical="center" wrapText="1"/>
    </xf>
    <xf numFmtId="20" fontId="10" fillId="0" borderId="1" xfId="0" applyNumberFormat="1" applyFont="1" applyBorder="1" applyAlignment="1">
      <alignment horizontal="center" vertical="center" wrapText="1"/>
    </xf>
    <xf numFmtId="165" fontId="11" fillId="0" borderId="1" xfId="0" applyNumberFormat="1" applyFont="1" applyBorder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9" fontId="11" fillId="0" borderId="1" xfId="1" applyFont="1" applyBorder="1" applyAlignment="1">
      <alignment horizontal="center" vertical="center"/>
    </xf>
    <xf numFmtId="0" fontId="14" fillId="0" borderId="0" xfId="0" applyFont="1">
      <alignment vertical="center"/>
    </xf>
    <xf numFmtId="43" fontId="10" fillId="0" borderId="1" xfId="2" applyFont="1" applyBorder="1" applyAlignment="1">
      <alignment horizontal="center" vertical="center" wrapText="1"/>
    </xf>
    <xf numFmtId="43" fontId="11" fillId="0" borderId="1" xfId="2" applyFont="1" applyBorder="1" applyAlignment="1">
      <alignment horizontal="center" vertical="center"/>
    </xf>
    <xf numFmtId="43" fontId="11" fillId="0" borderId="0" xfId="2" applyFont="1" applyAlignment="1">
      <alignment horizontal="center" vertical="center"/>
    </xf>
    <xf numFmtId="0" fontId="0" fillId="0" borderId="1" xfId="0" applyBorder="1">
      <alignment vertical="center"/>
    </xf>
    <xf numFmtId="0" fontId="12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43" fontId="0" fillId="0" borderId="1" xfId="2" applyFont="1" applyBorder="1">
      <alignment vertical="center"/>
    </xf>
    <xf numFmtId="0" fontId="12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44" fontId="14" fillId="0" borderId="0" xfId="0" applyNumberFormat="1" applyFont="1">
      <alignment vertical="center"/>
    </xf>
    <xf numFmtId="0" fontId="0" fillId="0" borderId="1" xfId="0" applyBorder="1" applyAlignment="1">
      <alignment horizontal="center" vertical="center"/>
    </xf>
    <xf numFmtId="165" fontId="0" fillId="0" borderId="1" xfId="2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43" fontId="22" fillId="0" borderId="1" xfId="2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43" fontId="16" fillId="2" borderId="1" xfId="2" applyFont="1" applyFill="1" applyBorder="1">
      <alignment vertical="center"/>
    </xf>
    <xf numFmtId="0" fontId="16" fillId="8" borderId="1" xfId="0" applyFont="1" applyFill="1" applyBorder="1" applyAlignment="1">
      <alignment horizontal="center" vertical="center" wrapText="1"/>
    </xf>
    <xf numFmtId="43" fontId="28" fillId="8" borderId="1" xfId="2" applyFont="1" applyFill="1" applyBorder="1">
      <alignment vertical="center"/>
    </xf>
    <xf numFmtId="169" fontId="11" fillId="0" borderId="1" xfId="2" applyNumberFormat="1" applyFont="1" applyBorder="1" applyAlignment="1">
      <alignment horizontal="center" vertical="center"/>
    </xf>
    <xf numFmtId="0" fontId="14" fillId="7" borderId="1" xfId="0" applyFont="1" applyFill="1" applyBorder="1" applyAlignment="1">
      <alignment horizontal="center" vertical="center"/>
    </xf>
    <xf numFmtId="0" fontId="0" fillId="7" borderId="1" xfId="0" applyFill="1" applyBorder="1">
      <alignment vertical="center"/>
    </xf>
    <xf numFmtId="165" fontId="11" fillId="0" borderId="0" xfId="0" applyNumberFormat="1" applyFont="1">
      <alignment vertical="center"/>
    </xf>
    <xf numFmtId="165" fontId="31" fillId="0" borderId="0" xfId="0" applyNumberFormat="1" applyFont="1" applyAlignment="1">
      <alignment horizontal="center" vertical="center"/>
    </xf>
    <xf numFmtId="0" fontId="32" fillId="0" borderId="0" xfId="0" applyFont="1">
      <alignment vertical="center"/>
    </xf>
    <xf numFmtId="0" fontId="31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20" fontId="31" fillId="0" borderId="0" xfId="0" applyNumberFormat="1" applyFont="1" applyAlignment="1">
      <alignment horizontal="center" vertical="center"/>
    </xf>
    <xf numFmtId="164" fontId="32" fillId="0" borderId="0" xfId="0" applyNumberFormat="1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horizontal="center" vertical="center"/>
    </xf>
    <xf numFmtId="0" fontId="31" fillId="12" borderId="1" xfId="0" applyFont="1" applyFill="1" applyBorder="1">
      <alignment vertical="center"/>
    </xf>
    <xf numFmtId="0" fontId="31" fillId="12" borderId="1" xfId="0" applyFont="1" applyFill="1" applyBorder="1" applyAlignment="1">
      <alignment horizontal="center" vertical="center"/>
    </xf>
    <xf numFmtId="165" fontId="31" fillId="12" borderId="1" xfId="0" applyNumberFormat="1" applyFont="1" applyFill="1" applyBorder="1" applyAlignment="1">
      <alignment horizontal="center" vertical="center"/>
    </xf>
    <xf numFmtId="164" fontId="10" fillId="13" borderId="1" xfId="0" applyNumberFormat="1" applyFont="1" applyFill="1" applyBorder="1" applyAlignment="1">
      <alignment horizontal="center" vertical="center"/>
    </xf>
    <xf numFmtId="43" fontId="31" fillId="13" borderId="1" xfId="0" applyNumberFormat="1" applyFont="1" applyFill="1" applyBorder="1">
      <alignment vertical="center"/>
    </xf>
    <xf numFmtId="0" fontId="10" fillId="14" borderId="1" xfId="0" applyFont="1" applyFill="1" applyBorder="1" applyAlignment="1">
      <alignment horizontal="center" vertical="center"/>
    </xf>
    <xf numFmtId="165" fontId="10" fillId="14" borderId="1" xfId="0" applyNumberFormat="1" applyFont="1" applyFill="1" applyBorder="1" applyAlignment="1">
      <alignment horizontal="center" vertical="center"/>
    </xf>
    <xf numFmtId="169" fontId="31" fillId="14" borderId="1" xfId="0" applyNumberFormat="1" applyFont="1" applyFill="1" applyBorder="1" applyAlignment="1">
      <alignment horizontal="center" vertical="center"/>
    </xf>
    <xf numFmtId="169" fontId="31" fillId="15" borderId="1" xfId="0" applyNumberFormat="1" applyFont="1" applyFill="1" applyBorder="1" applyAlignment="1">
      <alignment horizontal="center" vertical="center"/>
    </xf>
    <xf numFmtId="8" fontId="31" fillId="14" borderId="1" xfId="0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43" fontId="11" fillId="0" borderId="1" xfId="0" applyNumberFormat="1" applyFont="1" applyBorder="1">
      <alignment vertical="center"/>
    </xf>
    <xf numFmtId="0" fontId="17" fillId="2" borderId="1" xfId="0" applyFont="1" applyFill="1" applyBorder="1">
      <alignment vertical="center"/>
    </xf>
    <xf numFmtId="0" fontId="0" fillId="7" borderId="1" xfId="0" applyFill="1" applyBorder="1" applyAlignment="1">
      <alignment horizontal="center" vertical="center"/>
    </xf>
    <xf numFmtId="43" fontId="0" fillId="7" borderId="1" xfId="2" applyFont="1" applyFill="1" applyBorder="1" applyAlignment="1" applyProtection="1">
      <alignment horizontal="center" vertical="center"/>
    </xf>
    <xf numFmtId="0" fontId="25" fillId="4" borderId="1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26" fillId="3" borderId="1" xfId="0" applyFont="1" applyFill="1" applyBorder="1" applyAlignment="1">
      <alignment horizontal="center"/>
    </xf>
    <xf numFmtId="0" fontId="26" fillId="6" borderId="1" xfId="0" applyFont="1" applyFill="1" applyBorder="1" applyAlignment="1">
      <alignment horizontal="center"/>
    </xf>
    <xf numFmtId="0" fontId="8" fillId="7" borderId="1" xfId="0" applyFont="1" applyFill="1" applyBorder="1" applyAlignment="1">
      <alignment horizontal="center" vertical="center"/>
    </xf>
    <xf numFmtId="43" fontId="7" fillId="7" borderId="1" xfId="2" applyFont="1" applyFill="1" applyBorder="1" applyAlignment="1" applyProtection="1">
      <alignment horizontal="center" vertical="center"/>
    </xf>
    <xf numFmtId="43" fontId="6" fillId="7" borderId="1" xfId="2" applyFont="1" applyFill="1" applyBorder="1" applyAlignment="1" applyProtection="1">
      <alignment horizontal="center" vertical="center"/>
    </xf>
    <xf numFmtId="0" fontId="25" fillId="0" borderId="1" xfId="0" applyFont="1" applyBorder="1" applyAlignment="1">
      <alignment horizontal="center"/>
    </xf>
    <xf numFmtId="43" fontId="0" fillId="0" borderId="1" xfId="2" applyFont="1" applyFill="1" applyBorder="1" applyAlignment="1" applyProtection="1"/>
    <xf numFmtId="43" fontId="0" fillId="0" borderId="1" xfId="2" applyFont="1" applyBorder="1" applyAlignment="1" applyProtection="1"/>
    <xf numFmtId="0" fontId="0" fillId="9" borderId="0" xfId="0" applyFill="1">
      <alignment vertical="center"/>
    </xf>
    <xf numFmtId="0" fontId="25" fillId="9" borderId="1" xfId="0" applyFont="1" applyFill="1" applyBorder="1" applyAlignment="1">
      <alignment horizontal="center"/>
    </xf>
    <xf numFmtId="43" fontId="0" fillId="0" borderId="0" xfId="0" applyNumberFormat="1">
      <alignment vertical="center"/>
    </xf>
    <xf numFmtId="43" fontId="7" fillId="0" borderId="1" xfId="2" applyFont="1" applyFill="1" applyBorder="1" applyAlignment="1" applyProtection="1">
      <alignment horizontal="center" vertical="center"/>
    </xf>
    <xf numFmtId="43" fontId="0" fillId="0" borderId="1" xfId="2" applyFont="1" applyFill="1" applyBorder="1" applyAlignment="1" applyProtection="1">
      <alignment horizontal="center" vertical="center"/>
    </xf>
    <xf numFmtId="168" fontId="0" fillId="0" borderId="0" xfId="2" applyNumberFormat="1" applyFont="1" applyFill="1" applyProtection="1">
      <alignment vertical="center"/>
    </xf>
    <xf numFmtId="0" fontId="0" fillId="9" borderId="7" xfId="0" applyFill="1" applyBorder="1" applyAlignment="1"/>
    <xf numFmtId="0" fontId="14" fillId="3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/>
    </xf>
    <xf numFmtId="0" fontId="14" fillId="6" borderId="1" xfId="0" applyFont="1" applyFill="1" applyBorder="1" applyAlignment="1">
      <alignment horizontal="center" vertical="center"/>
    </xf>
    <xf numFmtId="0" fontId="14" fillId="6" borderId="1" xfId="0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43" fontId="0" fillId="0" borderId="0" xfId="2" applyFont="1" applyBorder="1" applyAlignment="1" applyProtection="1"/>
    <xf numFmtId="0" fontId="14" fillId="0" borderId="0" xfId="0" applyFont="1" applyAlignment="1">
      <alignment horizontal="center" vertical="center"/>
    </xf>
    <xf numFmtId="168" fontId="0" fillId="0" borderId="0" xfId="0" applyNumberFormat="1">
      <alignment vertical="center"/>
    </xf>
    <xf numFmtId="43" fontId="0" fillId="0" borderId="0" xfId="2" applyFont="1" applyFill="1" applyBorder="1" applyProtection="1">
      <alignment vertical="center"/>
    </xf>
    <xf numFmtId="43" fontId="4" fillId="7" borderId="1" xfId="2" applyFont="1" applyFill="1" applyBorder="1" applyAlignment="1" applyProtection="1">
      <alignment horizontal="center" vertical="center"/>
    </xf>
    <xf numFmtId="43" fontId="6" fillId="0" borderId="1" xfId="2" applyFont="1" applyFill="1" applyBorder="1" applyAlignment="1" applyProtection="1">
      <alignment horizontal="center" vertical="center"/>
    </xf>
    <xf numFmtId="167" fontId="0" fillId="0" borderId="0" xfId="2" applyNumberFormat="1" applyFont="1" applyFill="1" applyProtection="1">
      <alignment vertical="center"/>
    </xf>
    <xf numFmtId="0" fontId="25" fillId="11" borderId="1" xfId="0" applyFont="1" applyFill="1" applyBorder="1" applyAlignment="1">
      <alignment horizontal="center"/>
    </xf>
    <xf numFmtId="0" fontId="25" fillId="5" borderId="1" xfId="0" applyFont="1" applyFill="1" applyBorder="1" applyAlignment="1">
      <alignment horizontal="center"/>
    </xf>
    <xf numFmtId="43" fontId="0" fillId="2" borderId="0" xfId="0" applyNumberFormat="1" applyFill="1" applyAlignment="1">
      <alignment horizontal="center" vertical="center"/>
    </xf>
    <xf numFmtId="0" fontId="14" fillId="11" borderId="1" xfId="0" applyFont="1" applyFill="1" applyBorder="1" applyAlignment="1">
      <alignment horizontal="center"/>
    </xf>
    <xf numFmtId="0" fontId="26" fillId="11" borderId="1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 vertical="center"/>
    </xf>
    <xf numFmtId="43" fontId="11" fillId="0" borderId="0" xfId="0" applyNumberFormat="1" applyFont="1">
      <alignment vertical="center"/>
    </xf>
    <xf numFmtId="0" fontId="10" fillId="16" borderId="1" xfId="0" applyFont="1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0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3" fontId="3" fillId="0" borderId="1" xfId="2" applyFont="1" applyBorder="1" applyAlignment="1">
      <alignment vertical="center"/>
    </xf>
    <xf numFmtId="0" fontId="34" fillId="0" borderId="1" xfId="0" applyFont="1" applyBorder="1" applyAlignment="1">
      <alignment horizontal="center" vertical="center"/>
    </xf>
    <xf numFmtId="167" fontId="34" fillId="0" borderId="1" xfId="2" applyNumberFormat="1" applyFont="1" applyBorder="1" applyAlignment="1">
      <alignment vertical="center"/>
    </xf>
    <xf numFmtId="43" fontId="34" fillId="0" borderId="1" xfId="2" applyFont="1" applyBorder="1" applyAlignment="1">
      <alignment vertical="center"/>
    </xf>
    <xf numFmtId="167" fontId="3" fillId="0" borderId="1" xfId="2" applyNumberFormat="1" applyFont="1" applyBorder="1" applyAlignment="1">
      <alignment vertical="center"/>
    </xf>
    <xf numFmtId="0" fontId="36" fillId="18" borderId="1" xfId="0" applyFont="1" applyFill="1" applyBorder="1" applyAlignment="1">
      <alignment horizontal="center" vertical="center"/>
    </xf>
    <xf numFmtId="9" fontId="36" fillId="18" borderId="1" xfId="1" applyFont="1" applyFill="1" applyBorder="1" applyAlignment="1">
      <alignment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43" fontId="3" fillId="0" borderId="0" xfId="2" applyFont="1" applyFill="1" applyBorder="1" applyAlignment="1">
      <alignment vertical="center"/>
    </xf>
    <xf numFmtId="167" fontId="3" fillId="0" borderId="0" xfId="2" applyNumberFormat="1" applyFont="1" applyFill="1" applyBorder="1" applyAlignment="1">
      <alignment vertical="center"/>
    </xf>
    <xf numFmtId="167" fontId="34" fillId="0" borderId="0" xfId="2" applyNumberFormat="1" applyFont="1" applyFill="1" applyBorder="1" applyAlignment="1">
      <alignment vertical="center"/>
    </xf>
    <xf numFmtId="43" fontId="34" fillId="0" borderId="0" xfId="2" applyFont="1" applyFill="1" applyBorder="1" applyAlignment="1">
      <alignment vertical="center"/>
    </xf>
    <xf numFmtId="0" fontId="35" fillId="0" borderId="0" xfId="0" applyFont="1" applyAlignment="1">
      <alignment horizontal="center" vertical="center" wrapText="1"/>
    </xf>
    <xf numFmtId="9" fontId="36" fillId="0" borderId="0" xfId="1" applyFont="1" applyFill="1" applyBorder="1" applyAlignment="1">
      <alignment vertical="center"/>
    </xf>
    <xf numFmtId="0" fontId="14" fillId="0" borderId="0" xfId="0" applyFont="1" applyAlignment="1">
      <alignment horizontal="center" vertical="center" wrapText="1"/>
    </xf>
    <xf numFmtId="0" fontId="3" fillId="0" borderId="0" xfId="0" applyFont="1">
      <alignment vertical="center"/>
    </xf>
    <xf numFmtId="0" fontId="37" fillId="0" borderId="0" xfId="0" applyFont="1" applyAlignment="1">
      <alignment horizontal="center" vertical="center"/>
    </xf>
    <xf numFmtId="0" fontId="38" fillId="0" borderId="1" xfId="0" applyFont="1" applyBorder="1" applyAlignment="1">
      <alignment horizontal="center" vertical="center" wrapText="1"/>
    </xf>
    <xf numFmtId="9" fontId="38" fillId="0" borderId="1" xfId="1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horizontal="left" vertical="center"/>
    </xf>
    <xf numFmtId="169" fontId="0" fillId="0" borderId="1" xfId="0" applyNumberFormat="1" applyBorder="1">
      <alignment vertical="center"/>
    </xf>
    <xf numFmtId="0" fontId="0" fillId="19" borderId="1" xfId="0" applyFill="1" applyBorder="1">
      <alignment vertical="center"/>
    </xf>
    <xf numFmtId="0" fontId="14" fillId="20" borderId="1" xfId="0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/>
    </xf>
    <xf numFmtId="0" fontId="14" fillId="22" borderId="1" xfId="0" applyFon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 vertical="center"/>
    </xf>
    <xf numFmtId="44" fontId="0" fillId="0" borderId="1" xfId="0" applyNumberFormat="1" applyBorder="1" applyAlignment="1">
      <alignment horizontal="center" vertical="center"/>
    </xf>
    <xf numFmtId="0" fontId="14" fillId="23" borderId="1" xfId="0" applyFont="1" applyFill="1" applyBorder="1" applyAlignment="1">
      <alignment horizontal="center" vertical="center"/>
    </xf>
    <xf numFmtId="0" fontId="14" fillId="24" borderId="1" xfId="0" applyFont="1" applyFill="1" applyBorder="1" applyAlignment="1">
      <alignment horizontal="center" vertical="center"/>
    </xf>
    <xf numFmtId="0" fontId="14" fillId="25" borderId="1" xfId="0" applyFont="1" applyFill="1" applyBorder="1" applyAlignment="1">
      <alignment horizontal="center" vertical="center"/>
    </xf>
    <xf numFmtId="0" fontId="14" fillId="26" borderId="1" xfId="0" applyFont="1" applyFill="1" applyBorder="1" applyAlignment="1">
      <alignment horizontal="center" vertical="center" wrapText="1"/>
    </xf>
    <xf numFmtId="0" fontId="14" fillId="26" borderId="1" xfId="0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5" fontId="0" fillId="0" borderId="15" xfId="2" applyNumberFormat="1" applyFont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43" fontId="22" fillId="0" borderId="17" xfId="0" applyNumberFormat="1" applyFont="1" applyBorder="1">
      <alignment vertical="center"/>
    </xf>
    <xf numFmtId="165" fontId="22" fillId="0" borderId="17" xfId="2" applyNumberFormat="1" applyFont="1" applyBorder="1" applyAlignment="1">
      <alignment horizontal="center" vertical="center"/>
    </xf>
    <xf numFmtId="165" fontId="22" fillId="0" borderId="18" xfId="0" applyNumberFormat="1" applyFont="1" applyBorder="1" applyAlignment="1">
      <alignment horizontal="center" vertical="center"/>
    </xf>
    <xf numFmtId="0" fontId="37" fillId="0" borderId="0" xfId="0" applyFont="1">
      <alignment vertical="center"/>
    </xf>
    <xf numFmtId="169" fontId="22" fillId="0" borderId="17" xfId="2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43" fontId="0" fillId="0" borderId="1" xfId="0" applyNumberForma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43" fontId="41" fillId="0" borderId="1" xfId="0" applyNumberFormat="1" applyFont="1" applyBorder="1" applyAlignment="1">
      <alignment horizontal="center" vertical="center"/>
    </xf>
    <xf numFmtId="43" fontId="14" fillId="0" borderId="1" xfId="0" applyNumberFormat="1" applyFont="1" applyBorder="1" applyAlignment="1">
      <alignment horizontal="center" vertical="center"/>
    </xf>
    <xf numFmtId="43" fontId="0" fillId="0" borderId="1" xfId="2" applyFont="1" applyFill="1" applyBorder="1" applyProtection="1">
      <alignment vertical="center"/>
    </xf>
    <xf numFmtId="0" fontId="14" fillId="0" borderId="1" xfId="2" applyNumberFormat="1" applyFont="1" applyFill="1" applyBorder="1" applyAlignment="1" applyProtection="1">
      <alignment horizontal="center" vertical="center"/>
    </xf>
    <xf numFmtId="43" fontId="43" fillId="0" borderId="1" xfId="0" applyNumberFormat="1" applyFont="1" applyBorder="1" applyAlignment="1">
      <alignment horizontal="center" vertical="center"/>
    </xf>
    <xf numFmtId="43" fontId="42" fillId="0" borderId="1" xfId="0" applyNumberFormat="1" applyFont="1" applyBorder="1">
      <alignment vertical="center"/>
    </xf>
    <xf numFmtId="43" fontId="25" fillId="0" borderId="1" xfId="0" applyNumberFormat="1" applyFont="1" applyBorder="1" applyAlignment="1">
      <alignment horizontal="center"/>
    </xf>
    <xf numFmtId="43" fontId="0" fillId="0" borderId="1" xfId="0" applyNumberFormat="1" applyBorder="1">
      <alignment vertical="center"/>
    </xf>
    <xf numFmtId="0" fontId="14" fillId="2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3" fontId="11" fillId="0" borderId="1" xfId="2" applyFont="1" applyFill="1" applyBorder="1" applyAlignment="1">
      <alignment horizontal="center" vertical="center"/>
    </xf>
    <xf numFmtId="169" fontId="11" fillId="0" borderId="1" xfId="2" applyNumberFormat="1" applyFont="1" applyFill="1" applyBorder="1" applyAlignment="1">
      <alignment horizontal="center" vertical="center"/>
    </xf>
    <xf numFmtId="169" fontId="11" fillId="0" borderId="0" xfId="0" applyNumberFormat="1" applyFont="1">
      <alignment vertical="center"/>
    </xf>
    <xf numFmtId="14" fontId="19" fillId="0" borderId="0" xfId="0" applyNumberFormat="1" applyFont="1">
      <alignment vertical="center"/>
    </xf>
    <xf numFmtId="0" fontId="45" fillId="0" borderId="0" xfId="0" applyFont="1">
      <alignment vertical="center"/>
    </xf>
    <xf numFmtId="0" fontId="46" fillId="0" borderId="0" xfId="0" applyFont="1">
      <alignment vertical="center"/>
    </xf>
    <xf numFmtId="0" fontId="47" fillId="0" borderId="0" xfId="0" applyFont="1">
      <alignment vertical="center"/>
    </xf>
    <xf numFmtId="0" fontId="48" fillId="0" borderId="0" xfId="0" applyFont="1">
      <alignment vertical="center"/>
    </xf>
    <xf numFmtId="0" fontId="45" fillId="0" borderId="0" xfId="0" applyFont="1" applyAlignment="1">
      <alignment vertical="center" wrapText="1"/>
    </xf>
    <xf numFmtId="0" fontId="49" fillId="0" borderId="0" xfId="0" applyFont="1">
      <alignment vertical="center"/>
    </xf>
    <xf numFmtId="0" fontId="50" fillId="0" borderId="0" xfId="0" applyFont="1">
      <alignment vertical="center"/>
    </xf>
    <xf numFmtId="0" fontId="51" fillId="0" borderId="0" xfId="0" applyFont="1">
      <alignment vertical="center"/>
    </xf>
    <xf numFmtId="0" fontId="52" fillId="3" borderId="23" xfId="0" applyFont="1" applyFill="1" applyBorder="1" applyAlignment="1">
      <alignment horizontal="center" vertical="center"/>
    </xf>
    <xf numFmtId="0" fontId="52" fillId="4" borderId="23" xfId="0" applyFont="1" applyFill="1" applyBorder="1" applyAlignment="1">
      <alignment horizontal="center" vertical="center"/>
    </xf>
    <xf numFmtId="0" fontId="28" fillId="0" borderId="27" xfId="0" applyFont="1" applyBorder="1" applyAlignment="1">
      <alignment horizontal="left" vertical="center" wrapText="1"/>
    </xf>
    <xf numFmtId="0" fontId="28" fillId="0" borderId="25" xfId="0" applyFont="1" applyBorder="1" applyAlignment="1">
      <alignment horizontal="left" vertical="center" wrapText="1"/>
    </xf>
    <xf numFmtId="0" fontId="28" fillId="0" borderId="25" xfId="0" quotePrefix="1" applyFont="1" applyBorder="1" applyAlignment="1">
      <alignment horizontal="left" vertical="center" wrapText="1"/>
    </xf>
    <xf numFmtId="0" fontId="28" fillId="0" borderId="26" xfId="0" quotePrefix="1" applyFont="1" applyBorder="1" applyAlignment="1">
      <alignment horizontal="left" vertical="center" wrapText="1"/>
    </xf>
    <xf numFmtId="0" fontId="54" fillId="3" borderId="15" xfId="0" applyFont="1" applyFill="1" applyBorder="1" applyAlignment="1">
      <alignment horizontal="center" vertical="center"/>
    </xf>
    <xf numFmtId="0" fontId="56" fillId="3" borderId="14" xfId="0" applyFont="1" applyFill="1" applyBorder="1" applyAlignment="1">
      <alignment horizontal="center" vertical="center"/>
    </xf>
    <xf numFmtId="43" fontId="16" fillId="2" borderId="1" xfId="2" applyFont="1" applyFill="1" applyBorder="1" applyAlignment="1">
      <alignment horizontal="center" vertical="center"/>
    </xf>
    <xf numFmtId="43" fontId="0" fillId="0" borderId="1" xfId="2" applyFont="1" applyBorder="1" applyAlignment="1">
      <alignment horizontal="center" vertical="center"/>
    </xf>
    <xf numFmtId="43" fontId="0" fillId="0" borderId="0" xfId="2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4" fillId="0" borderId="0" xfId="0" applyFont="1" applyAlignment="1">
      <alignment vertical="center" wrapText="1"/>
    </xf>
    <xf numFmtId="0" fontId="0" fillId="10" borderId="1" xfId="2" applyNumberFormat="1" applyFont="1" applyFill="1" applyBorder="1" applyAlignment="1"/>
    <xf numFmtId="0" fontId="18" fillId="0" borderId="0" xfId="0" applyFont="1">
      <alignment vertical="center"/>
    </xf>
    <xf numFmtId="43" fontId="11" fillId="0" borderId="0" xfId="2" applyFont="1" applyFill="1" applyAlignment="1">
      <alignment horizontal="center" vertical="center"/>
    </xf>
    <xf numFmtId="43" fontId="28" fillId="8" borderId="1" xfId="2" applyFont="1" applyFill="1" applyBorder="1" applyAlignment="1">
      <alignment horizontal="center" vertical="center"/>
    </xf>
    <xf numFmtId="20" fontId="16" fillId="28" borderId="1" xfId="0" applyNumberFormat="1" applyFont="1" applyFill="1" applyBorder="1" applyAlignment="1">
      <alignment horizontal="center" vertical="center"/>
    </xf>
    <xf numFmtId="43" fontId="28" fillId="28" borderId="1" xfId="2" applyFont="1" applyFill="1" applyBorder="1" applyAlignment="1">
      <alignment horizontal="center" vertical="center"/>
    </xf>
    <xf numFmtId="20" fontId="16" fillId="29" borderId="1" xfId="0" applyNumberFormat="1" applyFont="1" applyFill="1" applyBorder="1" applyAlignment="1">
      <alignment horizontal="center" vertical="center"/>
    </xf>
    <xf numFmtId="43" fontId="28" fillId="29" borderId="1" xfId="2" applyFont="1" applyFill="1" applyBorder="1" applyAlignment="1">
      <alignment horizontal="center" vertical="center"/>
    </xf>
    <xf numFmtId="0" fontId="14" fillId="17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" fillId="0" borderId="1" xfId="0" applyFont="1" applyBorder="1">
      <alignment vertical="center"/>
    </xf>
    <xf numFmtId="169" fontId="0" fillId="0" borderId="0" xfId="2" applyNumberFormat="1" applyFont="1" applyBorder="1" applyAlignment="1">
      <alignment horizontal="center" vertical="center"/>
    </xf>
    <xf numFmtId="0" fontId="14" fillId="30" borderId="1" xfId="0" applyFont="1" applyFill="1" applyBorder="1" applyAlignment="1">
      <alignment horizontal="center" vertical="center"/>
    </xf>
    <xf numFmtId="43" fontId="57" fillId="0" borderId="1" xfId="0" applyNumberFormat="1" applyFont="1" applyBorder="1" applyAlignment="1">
      <alignment horizontal="center" vertical="center"/>
    </xf>
    <xf numFmtId="43" fontId="41" fillId="0" borderId="1" xfId="0" applyNumberFormat="1" applyFont="1" applyBorder="1">
      <alignment vertical="center"/>
    </xf>
    <xf numFmtId="43" fontId="26" fillId="0" borderId="1" xfId="0" applyNumberFormat="1" applyFont="1" applyBorder="1" applyAlignment="1">
      <alignment horizontal="center"/>
    </xf>
    <xf numFmtId="43" fontId="1" fillId="0" borderId="1" xfId="0" applyNumberFormat="1" applyFont="1" applyBorder="1">
      <alignment vertical="center"/>
    </xf>
    <xf numFmtId="43" fontId="1" fillId="0" borderId="1" xfId="2" applyFont="1" applyFill="1" applyBorder="1" applyProtection="1">
      <alignment vertical="center"/>
    </xf>
    <xf numFmtId="9" fontId="38" fillId="0" borderId="1" xfId="0" applyNumberFormat="1" applyFont="1" applyBorder="1" applyAlignment="1">
      <alignment horizontal="center" vertical="center"/>
    </xf>
    <xf numFmtId="43" fontId="11" fillId="0" borderId="0" xfId="2" applyFont="1" applyAlignment="1">
      <alignment vertical="center"/>
    </xf>
    <xf numFmtId="167" fontId="11" fillId="0" borderId="0" xfId="2" applyNumberFormat="1" applyFont="1" applyAlignment="1">
      <alignment vertical="center"/>
    </xf>
    <xf numFmtId="43" fontId="22" fillId="0" borderId="0" xfId="0" applyNumberFormat="1" applyFont="1">
      <alignment vertical="center"/>
    </xf>
    <xf numFmtId="169" fontId="22" fillId="0" borderId="0" xfId="2" applyNumberFormat="1" applyFont="1" applyBorder="1" applyAlignment="1">
      <alignment horizontal="center" vertical="center"/>
    </xf>
    <xf numFmtId="165" fontId="22" fillId="0" borderId="0" xfId="2" applyNumberFormat="1" applyFont="1" applyBorder="1" applyAlignment="1">
      <alignment horizontal="center" vertical="center"/>
    </xf>
    <xf numFmtId="165" fontId="22" fillId="0" borderId="0" xfId="0" applyNumberFormat="1" applyFont="1" applyAlignment="1">
      <alignment horizontal="center" vertical="center"/>
    </xf>
    <xf numFmtId="0" fontId="28" fillId="0" borderId="31" xfId="0" applyFont="1" applyBorder="1" applyAlignment="1">
      <alignment horizontal="left" vertical="center" wrapText="1"/>
    </xf>
    <xf numFmtId="0" fontId="28" fillId="0" borderId="32" xfId="0" applyFont="1" applyBorder="1" applyAlignment="1">
      <alignment horizontal="left" vertical="center" wrapText="1"/>
    </xf>
    <xf numFmtId="0" fontId="53" fillId="0" borderId="21" xfId="0" applyFont="1" applyBorder="1" applyAlignment="1">
      <alignment horizontal="center" vertical="center"/>
    </xf>
    <xf numFmtId="0" fontId="53" fillId="0" borderId="22" xfId="0" applyFont="1" applyBorder="1" applyAlignment="1">
      <alignment horizontal="center" vertical="center"/>
    </xf>
    <xf numFmtId="14" fontId="55" fillId="2" borderId="14" xfId="0" applyNumberFormat="1" applyFont="1" applyFill="1" applyBorder="1" applyAlignment="1">
      <alignment horizontal="center" vertical="center"/>
    </xf>
    <xf numFmtId="14" fontId="55" fillId="2" borderId="15" xfId="0" applyNumberFormat="1" applyFont="1" applyFill="1" applyBorder="1" applyAlignment="1">
      <alignment horizontal="center" vertical="center"/>
    </xf>
    <xf numFmtId="0" fontId="54" fillId="0" borderId="28" xfId="0" applyFont="1" applyBorder="1" applyAlignment="1">
      <alignment horizontal="left" vertical="center"/>
    </xf>
    <xf numFmtId="0" fontId="54" fillId="0" borderId="24" xfId="0" applyFont="1" applyBorder="1" applyAlignment="1">
      <alignment horizontal="left" vertical="center"/>
    </xf>
    <xf numFmtId="0" fontId="54" fillId="0" borderId="29" xfId="0" applyFont="1" applyBorder="1" applyAlignment="1">
      <alignment horizontal="left" vertical="center"/>
    </xf>
    <xf numFmtId="0" fontId="54" fillId="0" borderId="30" xfId="0" applyFont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19" fillId="0" borderId="17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9" fontId="16" fillId="0" borderId="12" xfId="0" applyNumberFormat="1" applyFont="1" applyBorder="1" applyAlignment="1">
      <alignment horizontal="center" vertical="center"/>
    </xf>
    <xf numFmtId="9" fontId="16" fillId="0" borderId="13" xfId="0" applyNumberFormat="1" applyFont="1" applyBorder="1" applyAlignment="1">
      <alignment horizontal="center" vertical="center"/>
    </xf>
    <xf numFmtId="9" fontId="16" fillId="0" borderId="17" xfId="0" applyNumberFormat="1" applyFont="1" applyBorder="1" applyAlignment="1">
      <alignment horizontal="center" vertical="center"/>
    </xf>
    <xf numFmtId="9" fontId="16" fillId="0" borderId="18" xfId="0" applyNumberFormat="1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166" fontId="44" fillId="0" borderId="0" xfId="0" applyNumberFormat="1" applyFont="1" applyAlignment="1">
      <alignment horizontal="center" vertical="center"/>
    </xf>
    <xf numFmtId="0" fontId="45" fillId="0" borderId="0" xfId="0" applyFont="1" applyAlignment="1">
      <alignment horizontal="left" vertical="center" wrapText="1"/>
    </xf>
    <xf numFmtId="0" fontId="44" fillId="0" borderId="0" xfId="0" applyFont="1" applyAlignment="1">
      <alignment horizontal="center" vertical="center"/>
    </xf>
    <xf numFmtId="169" fontId="28" fillId="0" borderId="12" xfId="2" applyNumberFormat="1" applyFont="1" applyBorder="1" applyAlignment="1">
      <alignment horizontal="center" vertical="center"/>
    </xf>
    <xf numFmtId="169" fontId="28" fillId="0" borderId="13" xfId="2" applyNumberFormat="1" applyFont="1" applyBorder="1" applyAlignment="1">
      <alignment horizontal="center" vertical="center"/>
    </xf>
    <xf numFmtId="169" fontId="40" fillId="0" borderId="1" xfId="2" applyNumberFormat="1" applyFont="1" applyBorder="1" applyAlignment="1">
      <alignment horizontal="center" vertical="center"/>
    </xf>
    <xf numFmtId="169" fontId="40" fillId="0" borderId="15" xfId="2" applyNumberFormat="1" applyFont="1" applyBorder="1" applyAlignment="1">
      <alignment horizontal="center" vertical="center"/>
    </xf>
    <xf numFmtId="169" fontId="16" fillId="0" borderId="17" xfId="2" applyNumberFormat="1" applyFont="1" applyBorder="1" applyAlignment="1">
      <alignment horizontal="center" vertical="center"/>
    </xf>
    <xf numFmtId="169" fontId="16" fillId="0" borderId="18" xfId="2" applyNumberFormat="1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9" fillId="0" borderId="16" xfId="0" applyFont="1" applyBorder="1" applyAlignment="1">
      <alignment horizontal="center" vertical="center" wrapText="1"/>
    </xf>
    <xf numFmtId="0" fontId="19" fillId="0" borderId="17" xfId="0" applyFont="1" applyBorder="1" applyAlignment="1">
      <alignment horizontal="center" vertical="center" wrapText="1"/>
    </xf>
    <xf numFmtId="43" fontId="22" fillId="0" borderId="12" xfId="2" applyFont="1" applyBorder="1" applyAlignment="1">
      <alignment horizontal="center" vertical="center"/>
    </xf>
    <xf numFmtId="43" fontId="22" fillId="0" borderId="13" xfId="2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14" fillId="22" borderId="1" xfId="0" applyFont="1" applyFill="1" applyBorder="1" applyAlignment="1">
      <alignment horizontal="center" vertical="center"/>
    </xf>
    <xf numFmtId="169" fontId="0" fillId="0" borderId="5" xfId="0" applyNumberFormat="1" applyBorder="1" applyAlignment="1">
      <alignment horizontal="center" vertical="center"/>
    </xf>
    <xf numFmtId="169" fontId="0" fillId="0" borderId="10" xfId="0" applyNumberFormat="1" applyBorder="1" applyAlignment="1">
      <alignment horizontal="center" vertical="center"/>
    </xf>
    <xf numFmtId="169" fontId="0" fillId="0" borderId="6" xfId="0" applyNumberFormat="1" applyBorder="1" applyAlignment="1">
      <alignment horizontal="center" vertical="center"/>
    </xf>
    <xf numFmtId="8" fontId="0" fillId="0" borderId="5" xfId="0" applyNumberFormat="1" applyBorder="1" applyAlignment="1">
      <alignment horizontal="center" vertical="center"/>
    </xf>
    <xf numFmtId="8" fontId="0" fillId="0" borderId="10" xfId="0" applyNumberFormat="1" applyBorder="1" applyAlignment="1">
      <alignment horizontal="center" vertical="center"/>
    </xf>
    <xf numFmtId="8" fontId="0" fillId="0" borderId="6" xfId="0" applyNumberFormat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9" borderId="10" xfId="0" applyFill="1" applyBorder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43" fontId="0" fillId="19" borderId="5" xfId="2" applyFont="1" applyFill="1" applyBorder="1" applyAlignment="1">
      <alignment horizontal="center" vertical="center"/>
    </xf>
    <xf numFmtId="43" fontId="0" fillId="19" borderId="10" xfId="2" applyFont="1" applyFill="1" applyBorder="1" applyAlignment="1">
      <alignment horizontal="center" vertical="center"/>
    </xf>
    <xf numFmtId="43" fontId="0" fillId="19" borderId="6" xfId="2" applyFont="1" applyFill="1" applyBorder="1" applyAlignment="1">
      <alignment horizontal="center" vertical="center"/>
    </xf>
    <xf numFmtId="43" fontId="16" fillId="0" borderId="1" xfId="2" applyFont="1" applyFill="1" applyBorder="1" applyAlignment="1">
      <alignment horizontal="center" vertical="center" wrapText="1"/>
    </xf>
    <xf numFmtId="0" fontId="16" fillId="8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20" fontId="16" fillId="0" borderId="1" xfId="0" applyNumberFormat="1" applyFont="1" applyBorder="1" applyAlignment="1">
      <alignment horizontal="center" vertical="center" wrapText="1"/>
    </xf>
    <xf numFmtId="43" fontId="16" fillId="8" borderId="1" xfId="2" applyFont="1" applyFill="1" applyBorder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18" fillId="29" borderId="1" xfId="0" applyFont="1" applyFill="1" applyBorder="1" applyAlignment="1">
      <alignment horizontal="center" vertical="center"/>
    </xf>
    <xf numFmtId="0" fontId="18" fillId="28" borderId="1" xfId="0" applyFont="1" applyFill="1" applyBorder="1" applyAlignment="1">
      <alignment horizontal="center" vertical="center" wrapText="1"/>
    </xf>
    <xf numFmtId="0" fontId="18" fillId="28" borderId="1" xfId="0" applyFont="1" applyFill="1" applyBorder="1" applyAlignment="1">
      <alignment horizontal="center" vertical="center"/>
    </xf>
    <xf numFmtId="0" fontId="25" fillId="4" borderId="1" xfId="0" applyFont="1" applyFill="1" applyBorder="1" applyAlignment="1">
      <alignment horizontal="center"/>
    </xf>
    <xf numFmtId="0" fontId="25" fillId="5" borderId="1" xfId="0" applyFont="1" applyFill="1" applyBorder="1" applyAlignment="1">
      <alignment horizontal="center"/>
    </xf>
    <xf numFmtId="0" fontId="31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165" fontId="10" fillId="14" borderId="5" xfId="0" applyNumberFormat="1" applyFont="1" applyFill="1" applyBorder="1" applyAlignment="1">
      <alignment horizontal="center" vertical="center"/>
    </xf>
    <xf numFmtId="165" fontId="10" fillId="14" borderId="6" xfId="0" applyNumberFormat="1" applyFont="1" applyFill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20" fontId="10" fillId="0" borderId="8" xfId="0" applyNumberFormat="1" applyFont="1" applyBorder="1" applyAlignment="1">
      <alignment horizontal="center" vertical="center"/>
    </xf>
    <xf numFmtId="20" fontId="10" fillId="0" borderId="9" xfId="0" applyNumberFormat="1" applyFont="1" applyBorder="1" applyAlignment="1">
      <alignment horizontal="center" vertical="center"/>
    </xf>
    <xf numFmtId="0" fontId="10" fillId="15" borderId="8" xfId="0" applyFont="1" applyFill="1" applyBorder="1" applyAlignment="1">
      <alignment horizontal="center" vertical="center"/>
    </xf>
    <xf numFmtId="0" fontId="10" fillId="15" borderId="9" xfId="0" applyFont="1" applyFill="1" applyBorder="1" applyAlignment="1">
      <alignment horizontal="center" vertical="center"/>
    </xf>
    <xf numFmtId="164" fontId="10" fillId="13" borderId="1" xfId="0" applyNumberFormat="1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4" fillId="18" borderId="1" xfId="0" applyFont="1" applyFill="1" applyBorder="1" applyAlignment="1">
      <alignment horizontal="center" vertical="center"/>
    </xf>
    <xf numFmtId="0" fontId="35" fillId="18" borderId="1" xfId="0" applyFont="1" applyFill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Percent" xfId="1" builtinId="5"/>
  </cellStyles>
  <dxfs count="8">
    <dxf>
      <font>
        <color rgb="FFFF3300"/>
      </font>
    </dxf>
    <dxf>
      <font>
        <color rgb="FFFF3300"/>
      </font>
    </dxf>
    <dxf>
      <font>
        <color rgb="FFFF3300"/>
      </font>
    </dxf>
    <dxf>
      <font>
        <color rgb="FFE637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E63700"/>
      </font>
    </dxf>
    <dxf>
      <font>
        <color rgb="FFE63700"/>
      </font>
    </dxf>
  </dxfs>
  <tableStyles count="0" defaultTableStyle="TableStyleMedium2" defaultPivotStyle="PivotStyleLight16"/>
  <colors>
    <mruColors>
      <color rgb="FF0065B0"/>
      <color rgb="FFFFB48F"/>
      <color rgb="FFFFEED5"/>
      <color rgb="FFFFFFCC"/>
      <color rgb="FFCCFFCC"/>
      <color rgb="FFE63700"/>
      <color rgb="FFFF99CC"/>
      <color rgb="FFFF9966"/>
      <color rgb="FFBDEEFF"/>
      <color rgb="FFFFC5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PH" b="1">
                <a:solidFill>
                  <a:sysClr val="windowText" lastClr="000000"/>
                </a:solidFill>
              </a:rPr>
              <a:t>ENERGY QUANTITIES, in MWh</a:t>
            </a:r>
          </a:p>
        </c:rich>
      </c:tx>
      <c:layout>
        <c:manualLayout>
          <c:xMode val="edge"/>
          <c:yMode val="edge"/>
          <c:x val="0.29087910505513898"/>
          <c:y val="3.0527807928846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Summary!$G$79</c:f>
              <c:strCache>
                <c:ptCount val="1"/>
                <c:pt idx="0">
                  <c:v>IRRADIANCE</c:v>
                </c:pt>
              </c:strCache>
            </c:strRef>
          </c:tx>
          <c:spPr>
            <a:pattFill prst="pct50">
              <a:fgClr>
                <a:srgbClr val="FFB48F"/>
              </a:fgClr>
              <a:bgClr>
                <a:schemeClr val="bg1"/>
              </a:bgClr>
            </a:pattFill>
            <a:ln>
              <a:noFill/>
            </a:ln>
            <a:effectLst/>
          </c:spPr>
          <c:cat>
            <c:strRef>
              <c:f>Summary!$H$75:$AE$75</c:f>
              <c:strCache>
                <c:ptCount val="24"/>
                <c:pt idx="0">
                  <c:v>Hour 1</c:v>
                </c:pt>
                <c:pt idx="1">
                  <c:v>Hour 2</c:v>
                </c:pt>
                <c:pt idx="2">
                  <c:v>Hour 3</c:v>
                </c:pt>
                <c:pt idx="3">
                  <c:v>Hour 4</c:v>
                </c:pt>
                <c:pt idx="4">
                  <c:v>Hour 5</c:v>
                </c:pt>
                <c:pt idx="5">
                  <c:v>Hour 6</c:v>
                </c:pt>
                <c:pt idx="6">
                  <c:v>Hour 7</c:v>
                </c:pt>
                <c:pt idx="7">
                  <c:v>Hour 8</c:v>
                </c:pt>
                <c:pt idx="8">
                  <c:v>Hour 9</c:v>
                </c:pt>
                <c:pt idx="9">
                  <c:v>Hour 10</c:v>
                </c:pt>
                <c:pt idx="10">
                  <c:v>Hour 11</c:v>
                </c:pt>
                <c:pt idx="11">
                  <c:v>Hour 12</c:v>
                </c:pt>
                <c:pt idx="12">
                  <c:v>Hour 13</c:v>
                </c:pt>
                <c:pt idx="13">
                  <c:v>Hour 14</c:v>
                </c:pt>
                <c:pt idx="14">
                  <c:v>Hour 15</c:v>
                </c:pt>
                <c:pt idx="15">
                  <c:v>Hour 16</c:v>
                </c:pt>
                <c:pt idx="16">
                  <c:v>Hour 17</c:v>
                </c:pt>
                <c:pt idx="17">
                  <c:v>Hour 18</c:v>
                </c:pt>
                <c:pt idx="18">
                  <c:v>Hour 19</c:v>
                </c:pt>
                <c:pt idx="19">
                  <c:v>Hour 20</c:v>
                </c:pt>
                <c:pt idx="20">
                  <c:v>Hour 21</c:v>
                </c:pt>
                <c:pt idx="21">
                  <c:v>Hour 22</c:v>
                </c:pt>
                <c:pt idx="22">
                  <c:v>Hour 23</c:v>
                </c:pt>
                <c:pt idx="23">
                  <c:v>Hour 24</c:v>
                </c:pt>
              </c:strCache>
            </c:strRef>
          </c:cat>
          <c:val>
            <c:numRef>
              <c:f>Summary!$H$79:$AE$79</c:f>
              <c:numCache>
                <c:formatCode>_(* #,##0.00_);_(* \(#,##0.00\);_(*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C8-4D3C-9B8C-08873AF2F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198720"/>
        <c:axId val="511198304"/>
      </c:areaChart>
      <c:lineChart>
        <c:grouping val="standard"/>
        <c:varyColors val="0"/>
        <c:ser>
          <c:idx val="0"/>
          <c:order val="0"/>
          <c:tx>
            <c:strRef>
              <c:f>Summary!$G$76</c:f>
              <c:strCache>
                <c:ptCount val="1"/>
                <c:pt idx="0">
                  <c:v>RTD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Summary!$H$75:$AE$75</c:f>
              <c:strCache>
                <c:ptCount val="24"/>
                <c:pt idx="0">
                  <c:v>Hour 1</c:v>
                </c:pt>
                <c:pt idx="1">
                  <c:v>Hour 2</c:v>
                </c:pt>
                <c:pt idx="2">
                  <c:v>Hour 3</c:v>
                </c:pt>
                <c:pt idx="3">
                  <c:v>Hour 4</c:v>
                </c:pt>
                <c:pt idx="4">
                  <c:v>Hour 5</c:v>
                </c:pt>
                <c:pt idx="5">
                  <c:v>Hour 6</c:v>
                </c:pt>
                <c:pt idx="6">
                  <c:v>Hour 7</c:v>
                </c:pt>
                <c:pt idx="7">
                  <c:v>Hour 8</c:v>
                </c:pt>
                <c:pt idx="8">
                  <c:v>Hour 9</c:v>
                </c:pt>
                <c:pt idx="9">
                  <c:v>Hour 10</c:v>
                </c:pt>
                <c:pt idx="10">
                  <c:v>Hour 11</c:v>
                </c:pt>
                <c:pt idx="11">
                  <c:v>Hour 12</c:v>
                </c:pt>
                <c:pt idx="12">
                  <c:v>Hour 13</c:v>
                </c:pt>
                <c:pt idx="13">
                  <c:v>Hour 14</c:v>
                </c:pt>
                <c:pt idx="14">
                  <c:v>Hour 15</c:v>
                </c:pt>
                <c:pt idx="15">
                  <c:v>Hour 16</c:v>
                </c:pt>
                <c:pt idx="16">
                  <c:v>Hour 17</c:v>
                </c:pt>
                <c:pt idx="17">
                  <c:v>Hour 18</c:v>
                </c:pt>
                <c:pt idx="18">
                  <c:v>Hour 19</c:v>
                </c:pt>
                <c:pt idx="19">
                  <c:v>Hour 20</c:v>
                </c:pt>
                <c:pt idx="20">
                  <c:v>Hour 21</c:v>
                </c:pt>
                <c:pt idx="21">
                  <c:v>Hour 22</c:v>
                </c:pt>
                <c:pt idx="22">
                  <c:v>Hour 23</c:v>
                </c:pt>
                <c:pt idx="23">
                  <c:v>Hour 24</c:v>
                </c:pt>
              </c:strCache>
            </c:strRef>
          </c:cat>
          <c:val>
            <c:numRef>
              <c:f>Summary!$H$76:$AE$76</c:f>
              <c:numCache>
                <c:formatCode>_(* #,##0.00_);_(* \(#,##0.00\);_(*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C8-4D3C-9B8C-08873AF2F859}"/>
            </c:ext>
          </c:extLst>
        </c:ser>
        <c:ser>
          <c:idx val="1"/>
          <c:order val="1"/>
          <c:tx>
            <c:strRef>
              <c:f>Summary!$G$77</c:f>
              <c:strCache>
                <c:ptCount val="1"/>
                <c:pt idx="0">
                  <c:v>ACTUAL DISPATCH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Summary!$H$75:$AE$75</c:f>
              <c:strCache>
                <c:ptCount val="24"/>
                <c:pt idx="0">
                  <c:v>Hour 1</c:v>
                </c:pt>
                <c:pt idx="1">
                  <c:v>Hour 2</c:v>
                </c:pt>
                <c:pt idx="2">
                  <c:v>Hour 3</c:v>
                </c:pt>
                <c:pt idx="3">
                  <c:v>Hour 4</c:v>
                </c:pt>
                <c:pt idx="4">
                  <c:v>Hour 5</c:v>
                </c:pt>
                <c:pt idx="5">
                  <c:v>Hour 6</c:v>
                </c:pt>
                <c:pt idx="6">
                  <c:v>Hour 7</c:v>
                </c:pt>
                <c:pt idx="7">
                  <c:v>Hour 8</c:v>
                </c:pt>
                <c:pt idx="8">
                  <c:v>Hour 9</c:v>
                </c:pt>
                <c:pt idx="9">
                  <c:v>Hour 10</c:v>
                </c:pt>
                <c:pt idx="10">
                  <c:v>Hour 11</c:v>
                </c:pt>
                <c:pt idx="11">
                  <c:v>Hour 12</c:v>
                </c:pt>
                <c:pt idx="12">
                  <c:v>Hour 13</c:v>
                </c:pt>
                <c:pt idx="13">
                  <c:v>Hour 14</c:v>
                </c:pt>
                <c:pt idx="14">
                  <c:v>Hour 15</c:v>
                </c:pt>
                <c:pt idx="15">
                  <c:v>Hour 16</c:v>
                </c:pt>
                <c:pt idx="16">
                  <c:v>Hour 17</c:v>
                </c:pt>
                <c:pt idx="17">
                  <c:v>Hour 18</c:v>
                </c:pt>
                <c:pt idx="18">
                  <c:v>Hour 19</c:v>
                </c:pt>
                <c:pt idx="19">
                  <c:v>Hour 20</c:v>
                </c:pt>
                <c:pt idx="20">
                  <c:v>Hour 21</c:v>
                </c:pt>
                <c:pt idx="21">
                  <c:v>Hour 22</c:v>
                </c:pt>
                <c:pt idx="22">
                  <c:v>Hour 23</c:v>
                </c:pt>
                <c:pt idx="23">
                  <c:v>Hour 24</c:v>
                </c:pt>
              </c:strCache>
            </c:strRef>
          </c:cat>
          <c:val>
            <c:numRef>
              <c:f>Summary!$H$77:$AE$77</c:f>
              <c:numCache>
                <c:formatCode>_(* #,##0.00_);_(* \(#,##0.00\);_(*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C8-4D3C-9B8C-08873AF2F859}"/>
            </c:ext>
          </c:extLst>
        </c:ser>
        <c:ser>
          <c:idx val="2"/>
          <c:order val="2"/>
          <c:tx>
            <c:strRef>
              <c:f>Summary!$G$78</c:f>
              <c:strCache>
                <c:ptCount val="1"/>
                <c:pt idx="0">
                  <c:v>MQ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Summary!$H$75:$AE$75</c:f>
              <c:strCache>
                <c:ptCount val="24"/>
                <c:pt idx="0">
                  <c:v>Hour 1</c:v>
                </c:pt>
                <c:pt idx="1">
                  <c:v>Hour 2</c:v>
                </c:pt>
                <c:pt idx="2">
                  <c:v>Hour 3</c:v>
                </c:pt>
                <c:pt idx="3">
                  <c:v>Hour 4</c:v>
                </c:pt>
                <c:pt idx="4">
                  <c:v>Hour 5</c:v>
                </c:pt>
                <c:pt idx="5">
                  <c:v>Hour 6</c:v>
                </c:pt>
                <c:pt idx="6">
                  <c:v>Hour 7</c:v>
                </c:pt>
                <c:pt idx="7">
                  <c:v>Hour 8</c:v>
                </c:pt>
                <c:pt idx="8">
                  <c:v>Hour 9</c:v>
                </c:pt>
                <c:pt idx="9">
                  <c:v>Hour 10</c:v>
                </c:pt>
                <c:pt idx="10">
                  <c:v>Hour 11</c:v>
                </c:pt>
                <c:pt idx="11">
                  <c:v>Hour 12</c:v>
                </c:pt>
                <c:pt idx="12">
                  <c:v>Hour 13</c:v>
                </c:pt>
                <c:pt idx="13">
                  <c:v>Hour 14</c:v>
                </c:pt>
                <c:pt idx="14">
                  <c:v>Hour 15</c:v>
                </c:pt>
                <c:pt idx="15">
                  <c:v>Hour 16</c:v>
                </c:pt>
                <c:pt idx="16">
                  <c:v>Hour 17</c:v>
                </c:pt>
                <c:pt idx="17">
                  <c:v>Hour 18</c:v>
                </c:pt>
                <c:pt idx="18">
                  <c:v>Hour 19</c:v>
                </c:pt>
                <c:pt idx="19">
                  <c:v>Hour 20</c:v>
                </c:pt>
                <c:pt idx="20">
                  <c:v>Hour 21</c:v>
                </c:pt>
                <c:pt idx="21">
                  <c:v>Hour 22</c:v>
                </c:pt>
                <c:pt idx="22">
                  <c:v>Hour 23</c:v>
                </c:pt>
                <c:pt idx="23">
                  <c:v>Hour 24</c:v>
                </c:pt>
              </c:strCache>
            </c:strRef>
          </c:cat>
          <c:val>
            <c:numRef>
              <c:f>Summary!$H$78:$AE$78</c:f>
              <c:numCache>
                <c:formatCode>_(* #,##0.00_);_(* \(#,##0.00\);_(*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C8-4D3C-9B8C-08873AF2F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2218560"/>
        <c:axId val="1062216896"/>
      </c:lineChart>
      <c:catAx>
        <c:axId val="1062218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2216896"/>
        <c:crosses val="autoZero"/>
        <c:auto val="1"/>
        <c:lblAlgn val="ctr"/>
        <c:lblOffset val="100"/>
        <c:noMultiLvlLbl val="0"/>
      </c:catAx>
      <c:valAx>
        <c:axId val="106221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2218560"/>
        <c:crosses val="autoZero"/>
        <c:crossBetween val="between"/>
      </c:valAx>
      <c:valAx>
        <c:axId val="511198304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98720"/>
        <c:crosses val="max"/>
        <c:crossBetween val="between"/>
      </c:valAx>
      <c:catAx>
        <c:axId val="5111987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111983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PH" altLang="zh-CN" b="1">
                <a:solidFill>
                  <a:sysClr val="windowText" lastClr="000000"/>
                </a:solidFill>
              </a:rPr>
              <a:t>ENERGY</a:t>
            </a:r>
            <a:r>
              <a:rPr lang="en-PH" altLang="zh-CN" b="1" baseline="0">
                <a:solidFill>
                  <a:sysClr val="windowText" lastClr="000000"/>
                </a:solidFill>
              </a:rPr>
              <a:t> TRADING AMOUNT, </a:t>
            </a:r>
            <a:r>
              <a:rPr lang="en-US" altLang="zh-CN" b="1" baseline="0">
                <a:solidFill>
                  <a:sysClr val="windowText" lastClr="000000"/>
                </a:solidFill>
              </a:rPr>
              <a:t>in PhP</a:t>
            </a:r>
            <a:endParaRPr lang="en-PH" altLang="zh-CN" b="1" baseline="0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PH" alt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5512983298311176E-2"/>
          <c:y val="0.16002181545488633"/>
          <c:w val="0.921214799730662"/>
          <c:h val="0.55225755871425164"/>
        </c:manualLayout>
      </c:layout>
      <c:lineChart>
        <c:grouping val="standard"/>
        <c:varyColors val="0"/>
        <c:ser>
          <c:idx val="0"/>
          <c:order val="0"/>
          <c:tx>
            <c:strRef>
              <c:f>Summary!$G$72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Summary!$H$71:$AE$71</c:f>
              <c:strCache>
                <c:ptCount val="24"/>
                <c:pt idx="0">
                  <c:v>Hour 1</c:v>
                </c:pt>
                <c:pt idx="1">
                  <c:v>Hour 2</c:v>
                </c:pt>
                <c:pt idx="2">
                  <c:v>Hour 3</c:v>
                </c:pt>
                <c:pt idx="3">
                  <c:v>Hour 4</c:v>
                </c:pt>
                <c:pt idx="4">
                  <c:v>Hour 5</c:v>
                </c:pt>
                <c:pt idx="5">
                  <c:v>Hour 6</c:v>
                </c:pt>
                <c:pt idx="6">
                  <c:v>Hour 7</c:v>
                </c:pt>
                <c:pt idx="7">
                  <c:v>Hour 8</c:v>
                </c:pt>
                <c:pt idx="8">
                  <c:v>Hour 9</c:v>
                </c:pt>
                <c:pt idx="9">
                  <c:v>Hour 10</c:v>
                </c:pt>
                <c:pt idx="10">
                  <c:v>Hour 11</c:v>
                </c:pt>
                <c:pt idx="11">
                  <c:v>Hour 12</c:v>
                </c:pt>
                <c:pt idx="12">
                  <c:v>Hour 13</c:v>
                </c:pt>
                <c:pt idx="13">
                  <c:v>Hour 14</c:v>
                </c:pt>
                <c:pt idx="14">
                  <c:v>Hour 15</c:v>
                </c:pt>
                <c:pt idx="15">
                  <c:v>Hour 16</c:v>
                </c:pt>
                <c:pt idx="16">
                  <c:v>Hour 17</c:v>
                </c:pt>
                <c:pt idx="17">
                  <c:v>Hour 18</c:v>
                </c:pt>
                <c:pt idx="18">
                  <c:v>Hour 19</c:v>
                </c:pt>
                <c:pt idx="19">
                  <c:v>Hour 20</c:v>
                </c:pt>
                <c:pt idx="20">
                  <c:v>Hour 21</c:v>
                </c:pt>
                <c:pt idx="21">
                  <c:v>Hour 22</c:v>
                </c:pt>
                <c:pt idx="22">
                  <c:v>Hour 23</c:v>
                </c:pt>
                <c:pt idx="23">
                  <c:v>Hour 24</c:v>
                </c:pt>
              </c:strCache>
            </c:strRef>
          </c:cat>
          <c:val>
            <c:numRef>
              <c:f>Summary!$H$72:$AE$72</c:f>
              <c:numCache>
                <c:formatCode>_("₱"* #,##0.00_);_("₱"* \(#,##0.00\);_("₱"*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E5-4C0B-9855-4AEB8BC66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789696"/>
        <c:axId val="53278512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Summary!$G$73</c15:sqref>
                        </c15:formulaRef>
                      </c:ext>
                    </c:extLst>
                    <c:strCache>
                      <c:ptCount val="1"/>
                      <c:pt idx="0">
                        <c:v>PURCHASE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Summary!$H$71:$AE$71</c15:sqref>
                        </c15:formulaRef>
                      </c:ext>
                    </c:extLst>
                    <c:strCache>
                      <c:ptCount val="24"/>
                      <c:pt idx="0">
                        <c:v>Hour 1</c:v>
                      </c:pt>
                      <c:pt idx="1">
                        <c:v>Hour 2</c:v>
                      </c:pt>
                      <c:pt idx="2">
                        <c:v>Hour 3</c:v>
                      </c:pt>
                      <c:pt idx="3">
                        <c:v>Hour 4</c:v>
                      </c:pt>
                      <c:pt idx="4">
                        <c:v>Hour 5</c:v>
                      </c:pt>
                      <c:pt idx="5">
                        <c:v>Hour 6</c:v>
                      </c:pt>
                      <c:pt idx="6">
                        <c:v>Hour 7</c:v>
                      </c:pt>
                      <c:pt idx="7">
                        <c:v>Hour 8</c:v>
                      </c:pt>
                      <c:pt idx="8">
                        <c:v>Hour 9</c:v>
                      </c:pt>
                      <c:pt idx="9">
                        <c:v>Hour 10</c:v>
                      </c:pt>
                      <c:pt idx="10">
                        <c:v>Hour 11</c:v>
                      </c:pt>
                      <c:pt idx="11">
                        <c:v>Hour 12</c:v>
                      </c:pt>
                      <c:pt idx="12">
                        <c:v>Hour 13</c:v>
                      </c:pt>
                      <c:pt idx="13">
                        <c:v>Hour 14</c:v>
                      </c:pt>
                      <c:pt idx="14">
                        <c:v>Hour 15</c:v>
                      </c:pt>
                      <c:pt idx="15">
                        <c:v>Hour 16</c:v>
                      </c:pt>
                      <c:pt idx="16">
                        <c:v>Hour 17</c:v>
                      </c:pt>
                      <c:pt idx="17">
                        <c:v>Hour 18</c:v>
                      </c:pt>
                      <c:pt idx="18">
                        <c:v>Hour 19</c:v>
                      </c:pt>
                      <c:pt idx="19">
                        <c:v>Hour 20</c:v>
                      </c:pt>
                      <c:pt idx="20">
                        <c:v>Hour 21</c:v>
                      </c:pt>
                      <c:pt idx="21">
                        <c:v>Hour 22</c:v>
                      </c:pt>
                      <c:pt idx="22">
                        <c:v>Hour 23</c:v>
                      </c:pt>
                      <c:pt idx="23">
                        <c:v>Hour 24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Summary!$H$73:$AE$73</c15:sqref>
                        </c15:formulaRef>
                      </c:ext>
                    </c:extLst>
                    <c:numCache>
                      <c:formatCode>_("₱"* #,##0.00_);_("₱"* \(#,##0.00\);_("₱"* "-"??_);_(@_)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BE5-4C0B-9855-4AEB8BC66DBA}"/>
                  </c:ext>
                </c:extLst>
              </c15:ser>
            </c15:filteredLineSeries>
          </c:ext>
        </c:extLst>
      </c:lineChart>
      <c:catAx>
        <c:axId val="532789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785120"/>
        <c:crosses val="autoZero"/>
        <c:auto val="1"/>
        <c:lblAlgn val="ctr"/>
        <c:lblOffset val="100"/>
        <c:noMultiLvlLbl val="0"/>
      </c:catAx>
      <c:valAx>
        <c:axId val="53278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₱&quot;* #,##0.00_);_(&quot;₱&quot;* \(#,##0.00\);_(&quot;₱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78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PH" b="1">
                <a:solidFill>
                  <a:sysClr val="windowText" lastClr="000000"/>
                </a:solidFill>
              </a:rPr>
              <a:t>LOCATIONAL</a:t>
            </a:r>
            <a:r>
              <a:rPr lang="en-PH" b="1" baseline="0">
                <a:solidFill>
                  <a:sysClr val="windowText" lastClr="000000"/>
                </a:solidFill>
              </a:rPr>
              <a:t> MARGINAL PRICE (LMP), in Php</a:t>
            </a:r>
            <a:endParaRPr lang="en-PH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14493354997292"/>
          <c:y val="7.63902613951043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PH"/>
        </a:p>
      </c:txPr>
    </c:title>
    <c:autoTitleDeleted val="0"/>
    <c:plotArea>
      <c:layout>
        <c:manualLayout>
          <c:layoutTarget val="inner"/>
          <c:xMode val="edge"/>
          <c:yMode val="edge"/>
          <c:x val="0.11540147449721651"/>
          <c:y val="0.16214207650273224"/>
          <c:w val="0.86124396074694487"/>
          <c:h val="0.55605042812271421"/>
        </c:manualLayout>
      </c:layout>
      <c:lineChart>
        <c:grouping val="standard"/>
        <c:varyColors val="0"/>
        <c:ser>
          <c:idx val="1"/>
          <c:order val="1"/>
          <c:tx>
            <c:strRef>
              <c:f>Summary!$G$4</c:f>
              <c:strCache>
                <c:ptCount val="1"/>
                <c:pt idx="0">
                  <c:v>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Summary!$H$2:$AE$2</c:f>
              <c:strCache>
                <c:ptCount val="24"/>
                <c:pt idx="0">
                  <c:v>Hour 1</c:v>
                </c:pt>
                <c:pt idx="1">
                  <c:v>Hour 2</c:v>
                </c:pt>
                <c:pt idx="2">
                  <c:v>Hour 3</c:v>
                </c:pt>
                <c:pt idx="3">
                  <c:v>Hour 4</c:v>
                </c:pt>
                <c:pt idx="4">
                  <c:v>Hour 5</c:v>
                </c:pt>
                <c:pt idx="5">
                  <c:v>Hour 6</c:v>
                </c:pt>
                <c:pt idx="6">
                  <c:v>Hour 7</c:v>
                </c:pt>
                <c:pt idx="7">
                  <c:v>Hour 8</c:v>
                </c:pt>
                <c:pt idx="8">
                  <c:v>Hour 9</c:v>
                </c:pt>
                <c:pt idx="9">
                  <c:v>Hour 10</c:v>
                </c:pt>
                <c:pt idx="10">
                  <c:v>Hour 11</c:v>
                </c:pt>
                <c:pt idx="11">
                  <c:v>Hour 12</c:v>
                </c:pt>
                <c:pt idx="12">
                  <c:v>Hour 13</c:v>
                </c:pt>
                <c:pt idx="13">
                  <c:v>Hour 14</c:v>
                </c:pt>
                <c:pt idx="14">
                  <c:v>Hour 15</c:v>
                </c:pt>
                <c:pt idx="15">
                  <c:v>Hour 16</c:v>
                </c:pt>
                <c:pt idx="16">
                  <c:v>Hour 17</c:v>
                </c:pt>
                <c:pt idx="17">
                  <c:v>Hour 18</c:v>
                </c:pt>
                <c:pt idx="18">
                  <c:v>Hour 19</c:v>
                </c:pt>
                <c:pt idx="19">
                  <c:v>Hour 20</c:v>
                </c:pt>
                <c:pt idx="20">
                  <c:v>Hour 21</c:v>
                </c:pt>
                <c:pt idx="21">
                  <c:v>Hour 22</c:v>
                </c:pt>
                <c:pt idx="22">
                  <c:v>Hour 23</c:v>
                </c:pt>
                <c:pt idx="23">
                  <c:v>Hour 24</c:v>
                </c:pt>
              </c:strCache>
            </c:strRef>
          </c:cat>
          <c:val>
            <c:numRef>
              <c:f>Summary!$H$4:$AE$4</c:f>
              <c:numCache>
                <c:formatCode>"₱"#,##0.00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3F-423E-B9B1-C638F8242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512768"/>
        <c:axId val="61351342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Summary!$G$3</c15:sqref>
                        </c15:formulaRef>
                      </c:ext>
                    </c:extLst>
                    <c:strCache>
                      <c:ptCount val="1"/>
                      <c:pt idx="0">
                        <c:v>Maximum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Summary!$H$2:$AE$2</c15:sqref>
                        </c15:formulaRef>
                      </c:ext>
                    </c:extLst>
                    <c:strCache>
                      <c:ptCount val="24"/>
                      <c:pt idx="0">
                        <c:v>Hour 1</c:v>
                      </c:pt>
                      <c:pt idx="1">
                        <c:v>Hour 2</c:v>
                      </c:pt>
                      <c:pt idx="2">
                        <c:v>Hour 3</c:v>
                      </c:pt>
                      <c:pt idx="3">
                        <c:v>Hour 4</c:v>
                      </c:pt>
                      <c:pt idx="4">
                        <c:v>Hour 5</c:v>
                      </c:pt>
                      <c:pt idx="5">
                        <c:v>Hour 6</c:v>
                      </c:pt>
                      <c:pt idx="6">
                        <c:v>Hour 7</c:v>
                      </c:pt>
                      <c:pt idx="7">
                        <c:v>Hour 8</c:v>
                      </c:pt>
                      <c:pt idx="8">
                        <c:v>Hour 9</c:v>
                      </c:pt>
                      <c:pt idx="9">
                        <c:v>Hour 10</c:v>
                      </c:pt>
                      <c:pt idx="10">
                        <c:v>Hour 11</c:v>
                      </c:pt>
                      <c:pt idx="11">
                        <c:v>Hour 12</c:v>
                      </c:pt>
                      <c:pt idx="12">
                        <c:v>Hour 13</c:v>
                      </c:pt>
                      <c:pt idx="13">
                        <c:v>Hour 14</c:v>
                      </c:pt>
                      <c:pt idx="14">
                        <c:v>Hour 15</c:v>
                      </c:pt>
                      <c:pt idx="15">
                        <c:v>Hour 16</c:v>
                      </c:pt>
                      <c:pt idx="16">
                        <c:v>Hour 17</c:v>
                      </c:pt>
                      <c:pt idx="17">
                        <c:v>Hour 18</c:v>
                      </c:pt>
                      <c:pt idx="18">
                        <c:v>Hour 19</c:v>
                      </c:pt>
                      <c:pt idx="19">
                        <c:v>Hour 20</c:v>
                      </c:pt>
                      <c:pt idx="20">
                        <c:v>Hour 21</c:v>
                      </c:pt>
                      <c:pt idx="21">
                        <c:v>Hour 22</c:v>
                      </c:pt>
                      <c:pt idx="22">
                        <c:v>Hour 23</c:v>
                      </c:pt>
                      <c:pt idx="23">
                        <c:v>Hour 24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Summary!$H$3:$AE$3</c15:sqref>
                        </c15:formulaRef>
                      </c:ext>
                    </c:extLst>
                    <c:numCache>
                      <c:formatCode>"₱"#,##0.00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C3F-423E-B9B1-C638F8242D79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Summary!$G$5</c15:sqref>
                        </c15:formulaRef>
                      </c:ext>
                    </c:extLst>
                    <c:strCache>
                      <c:ptCount val="1"/>
                      <c:pt idx="0">
                        <c:v>Minimum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Summary!$H$2:$AE$2</c15:sqref>
                        </c15:formulaRef>
                      </c:ext>
                    </c:extLst>
                    <c:strCache>
                      <c:ptCount val="24"/>
                      <c:pt idx="0">
                        <c:v>Hour 1</c:v>
                      </c:pt>
                      <c:pt idx="1">
                        <c:v>Hour 2</c:v>
                      </c:pt>
                      <c:pt idx="2">
                        <c:v>Hour 3</c:v>
                      </c:pt>
                      <c:pt idx="3">
                        <c:v>Hour 4</c:v>
                      </c:pt>
                      <c:pt idx="4">
                        <c:v>Hour 5</c:v>
                      </c:pt>
                      <c:pt idx="5">
                        <c:v>Hour 6</c:v>
                      </c:pt>
                      <c:pt idx="6">
                        <c:v>Hour 7</c:v>
                      </c:pt>
                      <c:pt idx="7">
                        <c:v>Hour 8</c:v>
                      </c:pt>
                      <c:pt idx="8">
                        <c:v>Hour 9</c:v>
                      </c:pt>
                      <c:pt idx="9">
                        <c:v>Hour 10</c:v>
                      </c:pt>
                      <c:pt idx="10">
                        <c:v>Hour 11</c:v>
                      </c:pt>
                      <c:pt idx="11">
                        <c:v>Hour 12</c:v>
                      </c:pt>
                      <c:pt idx="12">
                        <c:v>Hour 13</c:v>
                      </c:pt>
                      <c:pt idx="13">
                        <c:v>Hour 14</c:v>
                      </c:pt>
                      <c:pt idx="14">
                        <c:v>Hour 15</c:v>
                      </c:pt>
                      <c:pt idx="15">
                        <c:v>Hour 16</c:v>
                      </c:pt>
                      <c:pt idx="16">
                        <c:v>Hour 17</c:v>
                      </c:pt>
                      <c:pt idx="17">
                        <c:v>Hour 18</c:v>
                      </c:pt>
                      <c:pt idx="18">
                        <c:v>Hour 19</c:v>
                      </c:pt>
                      <c:pt idx="19">
                        <c:v>Hour 20</c:v>
                      </c:pt>
                      <c:pt idx="20">
                        <c:v>Hour 21</c:v>
                      </c:pt>
                      <c:pt idx="21">
                        <c:v>Hour 22</c:v>
                      </c:pt>
                      <c:pt idx="22">
                        <c:v>Hour 23</c:v>
                      </c:pt>
                      <c:pt idx="23">
                        <c:v>Hour 24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Summary!$H$5:$AE$5</c15:sqref>
                        </c15:formulaRef>
                      </c:ext>
                    </c:extLst>
                    <c:numCache>
                      <c:formatCode>"₱"#,##0.00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C3F-423E-B9B1-C638F8242D79}"/>
                  </c:ext>
                </c:extLst>
              </c15:ser>
            </c15:filteredLineSeries>
          </c:ext>
        </c:extLst>
      </c:lineChart>
      <c:catAx>
        <c:axId val="613512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13424"/>
        <c:crosses val="autoZero"/>
        <c:auto val="1"/>
        <c:lblAlgn val="ctr"/>
        <c:lblOffset val="100"/>
        <c:noMultiLvlLbl val="0"/>
      </c:catAx>
      <c:valAx>
        <c:axId val="61351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₱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51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45721</xdr:colOff>
      <xdr:row>0</xdr:row>
      <xdr:rowOff>85725</xdr:rowOff>
    </xdr:from>
    <xdr:to>
      <xdr:col>18</xdr:col>
      <xdr:colOff>552450</xdr:colOff>
      <xdr:row>14</xdr:row>
      <xdr:rowOff>122978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47625</xdr:colOff>
      <xdr:row>15</xdr:row>
      <xdr:rowOff>40217</xdr:rowOff>
    </xdr:from>
    <xdr:to>
      <xdr:col>18</xdr:col>
      <xdr:colOff>552450</xdr:colOff>
      <xdr:row>30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47625</xdr:colOff>
      <xdr:row>31</xdr:row>
      <xdr:rowOff>95249</xdr:rowOff>
    </xdr:from>
    <xdr:to>
      <xdr:col>18</xdr:col>
      <xdr:colOff>561975</xdr:colOff>
      <xdr:row>47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624417</xdr:colOff>
      <xdr:row>0</xdr:row>
      <xdr:rowOff>148166</xdr:rowOff>
    </xdr:from>
    <xdr:to>
      <xdr:col>3</xdr:col>
      <xdr:colOff>285751</xdr:colOff>
      <xdr:row>2</xdr:row>
      <xdr:rowOff>169333</xdr:rowOff>
    </xdr:to>
    <xdr:pic>
      <xdr:nvPicPr>
        <xdr:cNvPr id="6" name="Picture 5" descr="Logo - B.Grimm | EN">
          <a:extLst>
            <a:ext uri="{FF2B5EF4-FFF2-40B4-BE49-F238E27FC236}">
              <a16:creationId xmlns:a16="http://schemas.microsoft.com/office/drawing/2014/main" id="{7C624F3D-AA65-8444-D463-066B66E827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417" y="148166"/>
          <a:ext cx="1788584" cy="5503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Revenue Graph Color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B050"/>
      </a:accent1>
      <a:accent2>
        <a:srgbClr val="FF3300"/>
      </a:accent2>
      <a:accent3>
        <a:srgbClr val="FFFF00"/>
      </a:accent3>
      <a:accent4>
        <a:srgbClr val="FF9966"/>
      </a:accent4>
      <a:accent5>
        <a:srgbClr val="00B0F0"/>
      </a:accent5>
      <a:accent6>
        <a:srgbClr val="CC66FF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19289-58F0-4EC8-8A11-EC2275632814}">
  <sheetPr>
    <tabColor rgb="FFFF0000"/>
  </sheetPr>
  <dimension ref="A1:E41"/>
  <sheetViews>
    <sheetView showGridLines="0" tabSelected="1" view="pageBreakPreview" zoomScaleNormal="100" zoomScaleSheetLayoutView="100" workbookViewId="0">
      <selection activeCell="B11" sqref="B11"/>
    </sheetView>
  </sheetViews>
  <sheetFormatPr defaultRowHeight="15"/>
  <cols>
    <col min="1" max="1" width="35" customWidth="1"/>
    <col min="2" max="2" width="39" customWidth="1"/>
    <col min="3" max="3" width="4.42578125" customWidth="1"/>
    <col min="4" max="5" width="72.28515625" customWidth="1"/>
  </cols>
  <sheetData>
    <row r="1" spans="1:5" ht="36.75" customHeight="1" thickBot="1">
      <c r="A1" s="218" t="s">
        <v>111</v>
      </c>
      <c r="B1" s="219"/>
      <c r="D1" s="218" t="s">
        <v>112</v>
      </c>
      <c r="E1" s="219"/>
    </row>
    <row r="2" spans="1:5" ht="36.75" customHeight="1" thickBot="1">
      <c r="A2" s="224" t="s">
        <v>801</v>
      </c>
      <c r="B2" s="225"/>
      <c r="D2" s="178" t="s">
        <v>113</v>
      </c>
      <c r="E2" s="179" t="s">
        <v>114</v>
      </c>
    </row>
    <row r="3" spans="1:5" ht="36.75" customHeight="1">
      <c r="A3" s="220">
        <f ca="1">TODAY()-1</f>
        <v>45979</v>
      </c>
      <c r="B3" s="221"/>
      <c r="C3" s="169"/>
      <c r="D3" s="180" t="s">
        <v>805</v>
      </c>
      <c r="E3" s="180" t="s">
        <v>792</v>
      </c>
    </row>
    <row r="4" spans="1:5" ht="36.75" customHeight="1">
      <c r="A4" s="222" t="s">
        <v>781</v>
      </c>
      <c r="B4" s="223"/>
      <c r="D4" s="181" t="s">
        <v>782</v>
      </c>
      <c r="E4" s="181" t="s">
        <v>793</v>
      </c>
    </row>
    <row r="5" spans="1:5" ht="36.75" customHeight="1">
      <c r="A5" s="185" t="s">
        <v>828</v>
      </c>
      <c r="B5" s="184" t="s">
        <v>829</v>
      </c>
      <c r="D5" s="182" t="s">
        <v>783</v>
      </c>
      <c r="E5" s="182" t="s">
        <v>788</v>
      </c>
    </row>
    <row r="6" spans="1:5" ht="36.75" customHeight="1">
      <c r="A6" s="184"/>
      <c r="B6" s="184"/>
      <c r="D6" s="182" t="s">
        <v>785</v>
      </c>
      <c r="E6" s="182" t="s">
        <v>789</v>
      </c>
    </row>
    <row r="7" spans="1:5" ht="36.75" customHeight="1">
      <c r="D7" s="182" t="s">
        <v>784</v>
      </c>
      <c r="E7" s="181" t="s">
        <v>794</v>
      </c>
    </row>
    <row r="8" spans="1:5" ht="36.75" customHeight="1">
      <c r="D8" s="181" t="s">
        <v>786</v>
      </c>
      <c r="E8" s="181" t="s">
        <v>795</v>
      </c>
    </row>
    <row r="9" spans="1:5" ht="36.75" customHeight="1">
      <c r="D9" s="181" t="s">
        <v>787</v>
      </c>
      <c r="E9" s="182" t="s">
        <v>796</v>
      </c>
    </row>
    <row r="10" spans="1:5" ht="36.75" customHeight="1">
      <c r="D10" s="182" t="s">
        <v>788</v>
      </c>
      <c r="E10" s="182" t="s">
        <v>797</v>
      </c>
    </row>
    <row r="11" spans="1:5" ht="36.75" customHeight="1">
      <c r="D11" s="182" t="s">
        <v>789</v>
      </c>
      <c r="E11" s="182" t="s">
        <v>802</v>
      </c>
    </row>
    <row r="12" spans="1:5" ht="36.75" customHeight="1">
      <c r="D12" s="181" t="s">
        <v>790</v>
      </c>
      <c r="E12" s="181" t="s">
        <v>798</v>
      </c>
    </row>
    <row r="13" spans="1:5" ht="36.75" customHeight="1">
      <c r="D13" s="216" t="s">
        <v>791</v>
      </c>
      <c r="E13" s="182" t="s">
        <v>799</v>
      </c>
    </row>
    <row r="14" spans="1:5" ht="36.75" customHeight="1" thickBot="1">
      <c r="D14" s="217"/>
      <c r="E14" s="183" t="s">
        <v>800</v>
      </c>
    </row>
    <row r="15" spans="1:5" ht="21.75" customHeight="1">
      <c r="D15" s="31"/>
    </row>
    <row r="16" spans="1:5" ht="21.75" customHeight="1"/>
    <row r="17" ht="21.75" customHeight="1"/>
    <row r="18" ht="21.75" customHeight="1"/>
    <row r="19" ht="21.75" customHeight="1"/>
    <row r="20" ht="21.75" customHeight="1"/>
    <row r="21" ht="21.75" customHeight="1"/>
    <row r="22" ht="21.75" customHeight="1"/>
    <row r="23" ht="21.75" customHeight="1"/>
    <row r="24" ht="21.75" customHeight="1"/>
    <row r="25" ht="21.75" customHeight="1"/>
    <row r="26" ht="21.75" customHeight="1"/>
    <row r="27" ht="21.75" customHeight="1"/>
    <row r="28" ht="21.75" customHeight="1"/>
    <row r="29" ht="21.75" customHeight="1"/>
    <row r="30" ht="21.75" customHeight="1"/>
    <row r="31" ht="21.75" customHeight="1"/>
    <row r="3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</sheetData>
  <mergeCells count="6">
    <mergeCell ref="D13:D14"/>
    <mergeCell ref="D1:E1"/>
    <mergeCell ref="A1:B1"/>
    <mergeCell ref="A3:B3"/>
    <mergeCell ref="A4:B4"/>
    <mergeCell ref="A2:B2"/>
  </mergeCells>
  <pageMargins left="0.70866141732283472" right="0.70866141732283472" top="0.74803149606299213" bottom="0.74803149606299213" header="0.31496062992125984" footer="0.31496062992125984"/>
  <pageSetup scale="53" orientation="landscape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4BD4C-116F-47C0-A473-8B3AC6559FFD}">
  <sheetPr codeName="Sheet2">
    <tabColor rgb="FFFFFF00"/>
  </sheetPr>
  <dimension ref="A1:R53"/>
  <sheetViews>
    <sheetView view="pageBreakPreview" zoomScale="90" zoomScaleNormal="90" zoomScaleSheetLayoutView="90" zoomScalePageLayoutView="90" workbookViewId="0">
      <selection activeCell="V13" sqref="V13"/>
    </sheetView>
  </sheetViews>
  <sheetFormatPr defaultRowHeight="15"/>
  <cols>
    <col min="1" max="4" width="10.5703125" customWidth="1"/>
    <col min="5" max="6" width="9" customWidth="1"/>
    <col min="7" max="7" width="14.5703125" customWidth="1"/>
    <col min="8" max="8" width="15.28515625" customWidth="1"/>
    <col min="9" max="9" width="21" customWidth="1"/>
  </cols>
  <sheetData>
    <row r="1" spans="1:9" ht="27" thickBot="1">
      <c r="E1" s="245" t="s">
        <v>90</v>
      </c>
      <c r="F1" s="246"/>
      <c r="G1" s="246"/>
      <c r="H1" s="246"/>
      <c r="I1" s="247"/>
    </row>
    <row r="3" spans="1:9" ht="18.75">
      <c r="A3" s="15"/>
      <c r="E3" s="227" t="s">
        <v>117</v>
      </c>
      <c r="F3" s="227"/>
      <c r="G3" s="227"/>
      <c r="H3" s="248">
        <f ca="1">Instructions!A3</f>
        <v>45979</v>
      </c>
      <c r="I3" s="248"/>
    </row>
    <row r="4" spans="1:9" ht="18.75">
      <c r="A4" s="227" t="s">
        <v>827</v>
      </c>
      <c r="B4" s="227"/>
      <c r="C4" s="227"/>
      <c r="D4" s="227"/>
      <c r="E4" s="227" t="s">
        <v>115</v>
      </c>
      <c r="F4" s="227"/>
      <c r="G4" s="227"/>
      <c r="H4" s="250" t="s">
        <v>75</v>
      </c>
      <c r="I4" s="250"/>
    </row>
    <row r="5" spans="1:9" ht="15.75" thickBot="1"/>
    <row r="6" spans="1:9" ht="19.5" customHeight="1">
      <c r="A6" s="257" t="s">
        <v>766</v>
      </c>
      <c r="B6" s="258"/>
      <c r="C6" s="258"/>
      <c r="D6" s="258"/>
      <c r="E6" s="265" t="s">
        <v>764</v>
      </c>
      <c r="F6" s="265"/>
      <c r="G6" s="265"/>
      <c r="H6" s="251">
        <f>TA!F291</f>
        <v>0</v>
      </c>
      <c r="I6" s="252"/>
    </row>
    <row r="7" spans="1:9" ht="19.5" customHeight="1">
      <c r="A7" s="259"/>
      <c r="B7" s="260"/>
      <c r="C7" s="260"/>
      <c r="D7" s="260"/>
      <c r="E7" s="266" t="s">
        <v>106</v>
      </c>
      <c r="F7" s="266"/>
      <c r="G7" s="266"/>
      <c r="H7" s="253">
        <f>TA!G291</f>
        <v>0</v>
      </c>
      <c r="I7" s="254"/>
    </row>
    <row r="8" spans="1:9" ht="19.5" customHeight="1" thickBot="1">
      <c r="A8" s="261"/>
      <c r="B8" s="262"/>
      <c r="C8" s="262"/>
      <c r="D8" s="262"/>
      <c r="E8" s="233" t="s">
        <v>107</v>
      </c>
      <c r="F8" s="233"/>
      <c r="G8" s="233"/>
      <c r="H8" s="255">
        <f>SUM(H6:I7)</f>
        <v>0</v>
      </c>
      <c r="I8" s="256"/>
    </row>
    <row r="9" spans="1:9" ht="19.5" customHeight="1" thickBot="1">
      <c r="A9" s="35"/>
      <c r="B9" s="35"/>
      <c r="C9" s="32"/>
      <c r="E9" s="32"/>
      <c r="F9" s="35"/>
      <c r="H9" s="27"/>
      <c r="I9" s="27"/>
    </row>
    <row r="10" spans="1:9" ht="19.5" customHeight="1">
      <c r="A10" s="228" t="s">
        <v>447</v>
      </c>
      <c r="B10" s="229"/>
      <c r="C10" s="229"/>
      <c r="D10" s="229"/>
      <c r="E10" s="232" t="s">
        <v>118</v>
      </c>
      <c r="F10" s="232"/>
      <c r="G10" s="232"/>
      <c r="H10" s="234" t="e">
        <f>Summary!B22</f>
        <v>#DIV/0!</v>
      </c>
      <c r="I10" s="235"/>
    </row>
    <row r="11" spans="1:9" s="21" customFormat="1" ht="19.5" customHeight="1" thickBot="1">
      <c r="A11" s="230"/>
      <c r="B11" s="231"/>
      <c r="C11" s="231"/>
      <c r="D11" s="231"/>
      <c r="E11" s="233" t="s">
        <v>765</v>
      </c>
      <c r="F11" s="233"/>
      <c r="G11" s="233"/>
      <c r="H11" s="236">
        <f>Summary!B21</f>
        <v>0.26528395610913402</v>
      </c>
      <c r="I11" s="237"/>
    </row>
    <row r="12" spans="1:9" s="21" customFormat="1" ht="16.5" thickBot="1">
      <c r="D12"/>
      <c r="E12" s="32"/>
      <c r="F12" s="35"/>
      <c r="G12" s="15"/>
      <c r="H12" s="27"/>
      <c r="I12" s="27"/>
    </row>
    <row r="13" spans="1:9" ht="15.75">
      <c r="A13" s="238" t="s">
        <v>29</v>
      </c>
      <c r="B13" s="240" t="s">
        <v>68</v>
      </c>
      <c r="C13" s="240" t="s">
        <v>86</v>
      </c>
      <c r="D13" s="240" t="s">
        <v>85</v>
      </c>
      <c r="E13" s="242" t="s">
        <v>70</v>
      </c>
      <c r="F13" s="243"/>
      <c r="G13" s="240" t="s">
        <v>67</v>
      </c>
      <c r="H13" s="263" t="s">
        <v>110</v>
      </c>
      <c r="I13" s="264"/>
    </row>
    <row r="14" spans="1:9" ht="15.75">
      <c r="A14" s="239"/>
      <c r="B14" s="241"/>
      <c r="C14" s="241"/>
      <c r="D14" s="241"/>
      <c r="E14" s="30" t="s">
        <v>134</v>
      </c>
      <c r="F14" s="30" t="s">
        <v>135</v>
      </c>
      <c r="G14" s="241"/>
      <c r="H14" s="34" t="s">
        <v>108</v>
      </c>
      <c r="I14" s="144" t="s">
        <v>109</v>
      </c>
    </row>
    <row r="15" spans="1:9">
      <c r="A15" s="145" t="s">
        <v>82</v>
      </c>
      <c r="B15" s="24">
        <f t="array" ref="B15:B38">TRANSPOSE(Summary!H19:AE19)</f>
        <v>0</v>
      </c>
      <c r="C15" s="24">
        <f t="array" ref="C15:C38">TRANSPOSE(Summary!H33:AE33)</f>
        <v>0</v>
      </c>
      <c r="D15" s="24">
        <f t="array" ref="D15:D38">TRANSPOSE(Summary!H47:AE47)</f>
        <v>0</v>
      </c>
      <c r="E15" s="24">
        <f t="array" ref="E15:E38">TRANSPOSE(Summary!H51:AE51)</f>
        <v>0</v>
      </c>
      <c r="F15" s="24">
        <f t="array" ref="F15:F38">TRANSPOSE(Summary!H57:AE57)</f>
        <v>0</v>
      </c>
      <c r="G15" s="135" cm="1">
        <f t="array" ref="G15:G38">TRANSPOSE(Summary!H4:AE4)</f>
        <v>0</v>
      </c>
      <c r="H15" s="29">
        <f t="array" ref="H15:H38">TRANSPOSE(Summary!H72:AE72)</f>
        <v>0</v>
      </c>
      <c r="I15" s="146">
        <f t="array" ref="I15:I38">TRANSPOSE(Summary!H73:AE73)</f>
        <v>0</v>
      </c>
    </row>
    <row r="16" spans="1:9">
      <c r="A16" s="145" t="s">
        <v>83</v>
      </c>
      <c r="B16" s="24">
        <v>0</v>
      </c>
      <c r="C16" s="24">
        <v>0</v>
      </c>
      <c r="D16" s="24">
        <v>0</v>
      </c>
      <c r="E16" s="24">
        <v>0</v>
      </c>
      <c r="F16" s="24">
        <v>0</v>
      </c>
      <c r="G16" s="135">
        <v>0</v>
      </c>
      <c r="H16" s="29">
        <v>0</v>
      </c>
      <c r="I16" s="146">
        <v>0</v>
      </c>
    </row>
    <row r="17" spans="1:9">
      <c r="A17" s="145" t="s">
        <v>84</v>
      </c>
      <c r="B17" s="24">
        <v>0</v>
      </c>
      <c r="C17" s="24">
        <v>0</v>
      </c>
      <c r="D17" s="24">
        <v>0</v>
      </c>
      <c r="E17" s="24">
        <v>0</v>
      </c>
      <c r="F17" s="24">
        <v>0</v>
      </c>
      <c r="G17" s="135">
        <v>0</v>
      </c>
      <c r="H17" s="29">
        <v>0</v>
      </c>
      <c r="I17" s="146">
        <v>0</v>
      </c>
    </row>
    <row r="18" spans="1:9">
      <c r="A18" s="145" t="s">
        <v>43</v>
      </c>
      <c r="B18" s="24">
        <v>0</v>
      </c>
      <c r="C18" s="24">
        <v>0</v>
      </c>
      <c r="D18" s="24">
        <v>0</v>
      </c>
      <c r="E18" s="24">
        <v>0</v>
      </c>
      <c r="F18" s="24">
        <v>0</v>
      </c>
      <c r="G18" s="135">
        <v>0</v>
      </c>
      <c r="H18" s="29">
        <v>0</v>
      </c>
      <c r="I18" s="146">
        <v>0</v>
      </c>
    </row>
    <row r="19" spans="1:9">
      <c r="A19" s="145" t="s">
        <v>44</v>
      </c>
      <c r="B19" s="24">
        <v>0</v>
      </c>
      <c r="C19" s="24">
        <v>0</v>
      </c>
      <c r="D19" s="24">
        <v>0</v>
      </c>
      <c r="E19" s="24">
        <v>0</v>
      </c>
      <c r="F19" s="24">
        <v>0</v>
      </c>
      <c r="G19" s="135">
        <v>0</v>
      </c>
      <c r="H19" s="29">
        <v>0</v>
      </c>
      <c r="I19" s="146">
        <v>0</v>
      </c>
    </row>
    <row r="20" spans="1:9">
      <c r="A20" s="145" t="s">
        <v>45</v>
      </c>
      <c r="B20" s="24">
        <v>0</v>
      </c>
      <c r="C20" s="24">
        <v>0</v>
      </c>
      <c r="D20" s="24">
        <v>0</v>
      </c>
      <c r="E20" s="24">
        <v>0</v>
      </c>
      <c r="F20" s="24">
        <v>0</v>
      </c>
      <c r="G20" s="135">
        <v>0</v>
      </c>
      <c r="H20" s="29">
        <v>0</v>
      </c>
      <c r="I20" s="146">
        <v>0</v>
      </c>
    </row>
    <row r="21" spans="1:9">
      <c r="A21" s="145" t="s">
        <v>46</v>
      </c>
      <c r="B21" s="24">
        <v>0</v>
      </c>
      <c r="C21" s="24">
        <v>0</v>
      </c>
      <c r="D21" s="24">
        <v>0</v>
      </c>
      <c r="E21" s="24">
        <v>0</v>
      </c>
      <c r="F21" s="24">
        <v>0</v>
      </c>
      <c r="G21" s="135">
        <v>0</v>
      </c>
      <c r="H21" s="29">
        <v>0</v>
      </c>
      <c r="I21" s="146">
        <v>0</v>
      </c>
    </row>
    <row r="22" spans="1:9">
      <c r="A22" s="145" t="s">
        <v>47</v>
      </c>
      <c r="B22" s="24">
        <v>0</v>
      </c>
      <c r="C22" s="24">
        <v>0</v>
      </c>
      <c r="D22" s="24">
        <v>0</v>
      </c>
      <c r="E22" s="24">
        <v>0</v>
      </c>
      <c r="F22" s="24">
        <v>0</v>
      </c>
      <c r="G22" s="135">
        <v>0</v>
      </c>
      <c r="H22" s="29">
        <v>0</v>
      </c>
      <c r="I22" s="146">
        <v>0</v>
      </c>
    </row>
    <row r="23" spans="1:9">
      <c r="A23" s="145" t="s">
        <v>48</v>
      </c>
      <c r="B23" s="24">
        <v>0</v>
      </c>
      <c r="C23" s="24">
        <v>0</v>
      </c>
      <c r="D23" s="24">
        <v>0</v>
      </c>
      <c r="E23" s="24">
        <v>0</v>
      </c>
      <c r="F23" s="24">
        <v>0</v>
      </c>
      <c r="G23" s="135">
        <v>0</v>
      </c>
      <c r="H23" s="29">
        <v>0</v>
      </c>
      <c r="I23" s="146">
        <v>0</v>
      </c>
    </row>
    <row r="24" spans="1:9">
      <c r="A24" s="145" t="s">
        <v>49</v>
      </c>
      <c r="B24" s="24">
        <v>0</v>
      </c>
      <c r="C24" s="24">
        <v>0</v>
      </c>
      <c r="D24" s="24">
        <v>0</v>
      </c>
      <c r="E24" s="24">
        <v>0</v>
      </c>
      <c r="F24" s="24">
        <v>0</v>
      </c>
      <c r="G24" s="135">
        <v>0</v>
      </c>
      <c r="H24" s="29">
        <v>0</v>
      </c>
      <c r="I24" s="146">
        <v>0</v>
      </c>
    </row>
    <row r="25" spans="1:9">
      <c r="A25" s="145" t="s">
        <v>50</v>
      </c>
      <c r="B25" s="24">
        <v>0</v>
      </c>
      <c r="C25" s="24">
        <v>0</v>
      </c>
      <c r="D25" s="24">
        <v>0</v>
      </c>
      <c r="E25" s="24">
        <v>0</v>
      </c>
      <c r="F25" s="24">
        <v>0</v>
      </c>
      <c r="G25" s="135">
        <v>0</v>
      </c>
      <c r="H25" s="29">
        <v>0</v>
      </c>
      <c r="I25" s="146">
        <v>0</v>
      </c>
    </row>
    <row r="26" spans="1:9">
      <c r="A26" s="145" t="s">
        <v>51</v>
      </c>
      <c r="B26" s="24">
        <v>0</v>
      </c>
      <c r="C26" s="24">
        <v>0</v>
      </c>
      <c r="D26" s="24">
        <v>0</v>
      </c>
      <c r="E26" s="24">
        <v>0</v>
      </c>
      <c r="F26" s="24">
        <v>0</v>
      </c>
      <c r="G26" s="135">
        <v>0</v>
      </c>
      <c r="H26" s="29">
        <v>0</v>
      </c>
      <c r="I26" s="146">
        <v>0</v>
      </c>
    </row>
    <row r="27" spans="1:9">
      <c r="A27" s="145" t="s">
        <v>52</v>
      </c>
      <c r="B27" s="24">
        <v>0</v>
      </c>
      <c r="C27" s="24">
        <v>0</v>
      </c>
      <c r="D27" s="24">
        <v>0</v>
      </c>
      <c r="E27" s="24">
        <v>0</v>
      </c>
      <c r="F27" s="24">
        <v>0</v>
      </c>
      <c r="G27" s="135">
        <v>0</v>
      </c>
      <c r="H27" s="29">
        <v>0</v>
      </c>
      <c r="I27" s="146">
        <v>0</v>
      </c>
    </row>
    <row r="28" spans="1:9">
      <c r="A28" s="145" t="s">
        <v>53</v>
      </c>
      <c r="B28" s="24">
        <v>0</v>
      </c>
      <c r="C28" s="24">
        <v>0</v>
      </c>
      <c r="D28" s="24">
        <v>0</v>
      </c>
      <c r="E28" s="24">
        <v>0</v>
      </c>
      <c r="F28" s="24">
        <v>0</v>
      </c>
      <c r="G28" s="135">
        <v>0</v>
      </c>
      <c r="H28" s="29">
        <v>0</v>
      </c>
      <c r="I28" s="146">
        <v>0</v>
      </c>
    </row>
    <row r="29" spans="1:9">
      <c r="A29" s="145" t="s">
        <v>54</v>
      </c>
      <c r="B29" s="24">
        <v>0</v>
      </c>
      <c r="C29" s="24">
        <v>0</v>
      </c>
      <c r="D29" s="24">
        <v>0</v>
      </c>
      <c r="E29" s="24">
        <v>0</v>
      </c>
      <c r="F29" s="24">
        <v>0</v>
      </c>
      <c r="G29" s="135">
        <v>0</v>
      </c>
      <c r="H29" s="29">
        <v>0</v>
      </c>
      <c r="I29" s="146">
        <v>0</v>
      </c>
    </row>
    <row r="30" spans="1:9">
      <c r="A30" s="145" t="s">
        <v>55</v>
      </c>
      <c r="B30" s="24">
        <v>0</v>
      </c>
      <c r="C30" s="24">
        <v>0</v>
      </c>
      <c r="D30" s="24">
        <v>0</v>
      </c>
      <c r="E30" s="24">
        <v>0</v>
      </c>
      <c r="F30" s="24">
        <v>0</v>
      </c>
      <c r="G30" s="135">
        <v>0</v>
      </c>
      <c r="H30" s="29">
        <v>0</v>
      </c>
      <c r="I30" s="146">
        <v>0</v>
      </c>
    </row>
    <row r="31" spans="1:9">
      <c r="A31" s="145" t="s">
        <v>56</v>
      </c>
      <c r="B31" s="24">
        <v>0</v>
      </c>
      <c r="C31" s="24">
        <v>0</v>
      </c>
      <c r="D31" s="24">
        <v>0</v>
      </c>
      <c r="E31" s="24">
        <v>0</v>
      </c>
      <c r="F31" s="24">
        <v>0</v>
      </c>
      <c r="G31" s="135">
        <v>0</v>
      </c>
      <c r="H31" s="29">
        <v>0</v>
      </c>
      <c r="I31" s="146">
        <v>0</v>
      </c>
    </row>
    <row r="32" spans="1:9">
      <c r="A32" s="145" t="s">
        <v>57</v>
      </c>
      <c r="B32" s="24">
        <v>0</v>
      </c>
      <c r="C32" s="24">
        <v>0</v>
      </c>
      <c r="D32" s="24">
        <v>0</v>
      </c>
      <c r="E32" s="24">
        <v>0</v>
      </c>
      <c r="F32" s="24">
        <v>0</v>
      </c>
      <c r="G32" s="135">
        <v>0</v>
      </c>
      <c r="H32" s="29">
        <v>0</v>
      </c>
      <c r="I32" s="146">
        <v>0</v>
      </c>
    </row>
    <row r="33" spans="1:9">
      <c r="A33" s="145" t="s">
        <v>58</v>
      </c>
      <c r="B33" s="24">
        <v>0</v>
      </c>
      <c r="C33" s="24">
        <v>0</v>
      </c>
      <c r="D33" s="24">
        <v>0</v>
      </c>
      <c r="E33" s="24">
        <v>0</v>
      </c>
      <c r="F33" s="24">
        <v>0</v>
      </c>
      <c r="G33" s="135">
        <v>0</v>
      </c>
      <c r="H33" s="29">
        <v>0</v>
      </c>
      <c r="I33" s="146">
        <v>0</v>
      </c>
    </row>
    <row r="34" spans="1:9">
      <c r="A34" s="145" t="s">
        <v>59</v>
      </c>
      <c r="B34" s="24">
        <v>0</v>
      </c>
      <c r="C34" s="24">
        <v>0</v>
      </c>
      <c r="D34" s="24">
        <v>0</v>
      </c>
      <c r="E34" s="24">
        <v>0</v>
      </c>
      <c r="F34" s="24">
        <v>0</v>
      </c>
      <c r="G34" s="135">
        <v>0</v>
      </c>
      <c r="H34" s="29">
        <v>0</v>
      </c>
      <c r="I34" s="146">
        <v>0</v>
      </c>
    </row>
    <row r="35" spans="1:9">
      <c r="A35" s="145" t="s">
        <v>60</v>
      </c>
      <c r="B35" s="24">
        <v>0</v>
      </c>
      <c r="C35" s="24">
        <v>0</v>
      </c>
      <c r="D35" s="24">
        <v>0</v>
      </c>
      <c r="E35" s="24">
        <v>0</v>
      </c>
      <c r="F35" s="24">
        <v>0</v>
      </c>
      <c r="G35" s="135">
        <v>0</v>
      </c>
      <c r="H35" s="29">
        <v>0</v>
      </c>
      <c r="I35" s="146">
        <v>0</v>
      </c>
    </row>
    <row r="36" spans="1:9">
      <c r="A36" s="145" t="s">
        <v>61</v>
      </c>
      <c r="B36" s="24">
        <v>0</v>
      </c>
      <c r="C36" s="24">
        <v>0</v>
      </c>
      <c r="D36" s="24">
        <v>0</v>
      </c>
      <c r="E36" s="24">
        <v>0</v>
      </c>
      <c r="F36" s="24">
        <v>0</v>
      </c>
      <c r="G36" s="135">
        <v>0</v>
      </c>
      <c r="H36" s="29">
        <v>0</v>
      </c>
      <c r="I36" s="146">
        <v>0</v>
      </c>
    </row>
    <row r="37" spans="1:9">
      <c r="A37" s="145" t="s">
        <v>62</v>
      </c>
      <c r="B37" s="24">
        <v>0</v>
      </c>
      <c r="C37" s="24">
        <v>0</v>
      </c>
      <c r="D37" s="24">
        <v>0</v>
      </c>
      <c r="E37" s="24">
        <v>0</v>
      </c>
      <c r="F37" s="24">
        <v>0</v>
      </c>
      <c r="G37" s="135">
        <v>0</v>
      </c>
      <c r="H37" s="29">
        <v>0</v>
      </c>
      <c r="I37" s="146">
        <v>0</v>
      </c>
    </row>
    <row r="38" spans="1:9">
      <c r="A38" s="145" t="s">
        <v>63</v>
      </c>
      <c r="B38" s="24">
        <v>0</v>
      </c>
      <c r="C38" s="24">
        <v>0</v>
      </c>
      <c r="D38" s="24">
        <v>0</v>
      </c>
      <c r="E38" s="24">
        <v>0</v>
      </c>
      <c r="F38" s="24">
        <v>0</v>
      </c>
      <c r="G38" s="135">
        <v>0</v>
      </c>
      <c r="H38" s="29">
        <v>0</v>
      </c>
      <c r="I38" s="146">
        <v>0</v>
      </c>
    </row>
    <row r="39" spans="1:9" ht="16.5" thickBot="1">
      <c r="A39" s="147" t="s">
        <v>73</v>
      </c>
      <c r="B39" s="148">
        <f>SUM(B15:B38)</f>
        <v>0</v>
      </c>
      <c r="C39" s="148">
        <f>SUM(C15:C38)</f>
        <v>0</v>
      </c>
      <c r="D39" s="148">
        <f>SUM(D15:D38)</f>
        <v>0</v>
      </c>
      <c r="E39" s="148">
        <f>MQ!Z82</f>
        <v>0</v>
      </c>
      <c r="F39" s="148">
        <f>MQ!Z88</f>
        <v>0</v>
      </c>
      <c r="G39" s="152">
        <f>TA!E292</f>
        <v>0</v>
      </c>
      <c r="H39" s="149">
        <f>SUM(H15:H38)</f>
        <v>0</v>
      </c>
      <c r="I39" s="150">
        <f>SUM(I15:I38)</f>
        <v>0</v>
      </c>
    </row>
    <row r="40" spans="1:9" ht="15.75">
      <c r="A40" s="35"/>
      <c r="B40" s="212"/>
      <c r="C40" s="212"/>
      <c r="D40" s="212"/>
      <c r="E40" s="212"/>
      <c r="F40" s="212"/>
      <c r="G40" s="213"/>
      <c r="H40" s="214"/>
      <c r="I40" s="215"/>
    </row>
    <row r="41" spans="1:9">
      <c r="A41" s="175" t="s">
        <v>88</v>
      </c>
      <c r="B41" s="176"/>
      <c r="C41" s="176"/>
      <c r="D41" s="176"/>
      <c r="F41" s="170" t="s">
        <v>767</v>
      </c>
      <c r="G41" s="171"/>
      <c r="H41" s="171"/>
      <c r="I41" s="171"/>
    </row>
    <row r="42" spans="1:9" ht="15.75" customHeight="1">
      <c r="A42" s="175" t="s">
        <v>819</v>
      </c>
      <c r="B42" s="177"/>
      <c r="C42" s="177"/>
      <c r="D42" s="177"/>
      <c r="E42" s="33"/>
      <c r="F42" s="170" t="s">
        <v>825</v>
      </c>
      <c r="G42" s="170"/>
      <c r="H42" s="173"/>
      <c r="I42" s="171"/>
    </row>
    <row r="43" spans="1:9" ht="15.75">
      <c r="A43" s="175" t="s">
        <v>820</v>
      </c>
      <c r="B43" s="177"/>
      <c r="C43" s="177"/>
      <c r="D43" s="177"/>
      <c r="E43" s="33"/>
      <c r="F43" s="249" t="s">
        <v>769</v>
      </c>
      <c r="G43" s="249"/>
      <c r="H43" s="249"/>
      <c r="I43" s="249"/>
    </row>
    <row r="44" spans="1:9" ht="15.75">
      <c r="A44" s="175" t="s">
        <v>821</v>
      </c>
      <c r="B44" s="177"/>
      <c r="C44" s="177"/>
      <c r="D44" s="177"/>
      <c r="E44" s="33"/>
      <c r="F44" s="249"/>
      <c r="G44" s="249"/>
      <c r="H44" s="249"/>
      <c r="I44" s="249"/>
    </row>
    <row r="45" spans="1:9" ht="15.75">
      <c r="A45" s="175" t="s">
        <v>822</v>
      </c>
      <c r="B45" s="177"/>
      <c r="C45" s="177"/>
      <c r="D45" s="177"/>
      <c r="E45" s="33"/>
      <c r="F45" s="170" t="s">
        <v>768</v>
      </c>
    </row>
    <row r="46" spans="1:9" ht="15.75">
      <c r="A46" s="175" t="s">
        <v>823</v>
      </c>
      <c r="D46" s="177"/>
      <c r="E46" s="33"/>
      <c r="F46" s="170" t="s">
        <v>770</v>
      </c>
      <c r="G46" s="174"/>
      <c r="H46" s="174"/>
      <c r="I46" s="174"/>
    </row>
    <row r="47" spans="1:9" ht="15.75">
      <c r="A47" s="175" t="s">
        <v>824</v>
      </c>
      <c r="D47" s="176"/>
      <c r="F47" s="170" t="s">
        <v>771</v>
      </c>
      <c r="G47" s="172"/>
      <c r="H47" s="173"/>
      <c r="I47" s="171"/>
    </row>
    <row r="48" spans="1:9" ht="15.75">
      <c r="A48" s="175" t="s">
        <v>89</v>
      </c>
      <c r="B48" s="177"/>
      <c r="C48" s="177"/>
      <c r="D48" s="176"/>
      <c r="F48" s="170" t="s">
        <v>803</v>
      </c>
      <c r="G48" s="171"/>
      <c r="H48" s="171"/>
      <c r="I48" s="171"/>
    </row>
    <row r="49" spans="1:18">
      <c r="A49" s="175" t="s">
        <v>804</v>
      </c>
      <c r="B49" s="176"/>
      <c r="C49" s="176"/>
      <c r="D49" s="176"/>
      <c r="F49" s="170" t="s">
        <v>826</v>
      </c>
      <c r="G49" s="151"/>
      <c r="H49" s="151"/>
      <c r="I49" s="151"/>
    </row>
    <row r="50" spans="1:18">
      <c r="A50" s="175" t="s">
        <v>119</v>
      </c>
      <c r="B50" s="176"/>
      <c r="C50" s="176"/>
      <c r="F50" s="25"/>
    </row>
    <row r="51" spans="1:18" ht="15.75">
      <c r="A51" s="175"/>
      <c r="B51" s="176"/>
      <c r="C51" s="176"/>
      <c r="F51" s="25"/>
      <c r="J51" s="32" t="s">
        <v>91</v>
      </c>
      <c r="L51" s="244" t="str">
        <f>C52</f>
        <v>DR Cosas</v>
      </c>
      <c r="M51" s="244"/>
      <c r="N51" s="244"/>
      <c r="P51" s="244">
        <f>G52</f>
        <v>0</v>
      </c>
      <c r="Q51" s="244"/>
      <c r="R51" s="244"/>
    </row>
    <row r="52" spans="1:18" ht="15.75">
      <c r="A52" s="32" t="s">
        <v>91</v>
      </c>
      <c r="C52" s="244" t="str">
        <f>Instructions!B5</f>
        <v>DR Cosas</v>
      </c>
      <c r="D52" s="244"/>
      <c r="E52" s="244"/>
      <c r="G52" s="244">
        <f>Instructions!B6</f>
        <v>0</v>
      </c>
      <c r="H52" s="244"/>
      <c r="L52" s="226" t="s">
        <v>92</v>
      </c>
      <c r="M52" s="226"/>
      <c r="N52" s="226"/>
      <c r="P52" s="226" t="s">
        <v>93</v>
      </c>
      <c r="Q52" s="226"/>
      <c r="R52" s="226"/>
    </row>
    <row r="53" spans="1:18">
      <c r="C53" s="226" t="s">
        <v>92</v>
      </c>
      <c r="D53" s="226"/>
      <c r="E53" s="226"/>
      <c r="G53" s="226" t="s">
        <v>93</v>
      </c>
      <c r="H53" s="226"/>
    </row>
  </sheetData>
  <mergeCells count="34">
    <mergeCell ref="A6:D8"/>
    <mergeCell ref="C52:E52"/>
    <mergeCell ref="G52:H52"/>
    <mergeCell ref="H13:I13"/>
    <mergeCell ref="E6:G6"/>
    <mergeCell ref="E7:G7"/>
    <mergeCell ref="E8:G8"/>
    <mergeCell ref="P51:R51"/>
    <mergeCell ref="H4:I4"/>
    <mergeCell ref="H6:I6"/>
    <mergeCell ref="H7:I7"/>
    <mergeCell ref="H8:I8"/>
    <mergeCell ref="E1:I1"/>
    <mergeCell ref="E3:G3"/>
    <mergeCell ref="E4:G4"/>
    <mergeCell ref="H3:I3"/>
    <mergeCell ref="L52:N52"/>
    <mergeCell ref="F43:I44"/>
    <mergeCell ref="P52:R52"/>
    <mergeCell ref="A4:D4"/>
    <mergeCell ref="C53:E53"/>
    <mergeCell ref="A10:D11"/>
    <mergeCell ref="E10:G10"/>
    <mergeCell ref="E11:G11"/>
    <mergeCell ref="H10:I10"/>
    <mergeCell ref="H11:I11"/>
    <mergeCell ref="A13:A14"/>
    <mergeCell ref="B13:B14"/>
    <mergeCell ref="C13:C14"/>
    <mergeCell ref="D13:D14"/>
    <mergeCell ref="G13:G14"/>
    <mergeCell ref="E13:F13"/>
    <mergeCell ref="G53:H53"/>
    <mergeCell ref="L51:N51"/>
  </mergeCells>
  <phoneticPr fontId="9" type="noConversion"/>
  <conditionalFormatting sqref="B15:I40">
    <cfRule type="cellIs" dxfId="7" priority="1" operator="lessThan">
      <formula>0</formula>
    </cfRule>
  </conditionalFormatting>
  <conditionalFormatting sqref="E6:I8">
    <cfRule type="cellIs" dxfId="6" priority="2" operator="lessThan">
      <formula>0</formula>
    </cfRule>
  </conditionalFormatting>
  <conditionalFormatting sqref="H10:I10">
    <cfRule type="cellIs" dxfId="5" priority="4" operator="greaterThan">
      <formula>0.18</formula>
    </cfRule>
  </conditionalFormatting>
  <conditionalFormatting sqref="H11:I11">
    <cfRule type="cellIs" dxfId="4" priority="3" operator="greaterThan">
      <formula>0.3</formula>
    </cfRule>
  </conditionalFormatting>
  <printOptions horizontalCentered="1"/>
  <pageMargins left="0.25" right="0.25" top="0.75" bottom="0.75" header="0.3" footer="0.3"/>
  <pageSetup paperSize="9" scale="88" orientation="portrait" horizontalDpi="300" verticalDpi="300" r:id="rId1"/>
  <headerFooter>
    <oddHeader>&amp;R&amp;9&amp;F</oddHeader>
    <oddFooter>&amp;R&amp;P</oddFooter>
  </headerFooter>
  <colBreaks count="1" manualBreakCount="1">
    <brk id="9" max="52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C865C-1295-4106-AB82-0724F55F5E66}">
  <sheetPr codeName="Sheet10"/>
  <dimension ref="A2:AE79"/>
  <sheetViews>
    <sheetView zoomScale="60" zoomScaleNormal="60" workbookViewId="0">
      <selection activeCell="A30" sqref="A30"/>
    </sheetView>
  </sheetViews>
  <sheetFormatPr defaultRowHeight="15"/>
  <cols>
    <col min="1" max="1" width="43.140625" customWidth="1"/>
    <col min="2" max="2" width="14.85546875" customWidth="1"/>
    <col min="3" max="5" width="11.7109375" customWidth="1"/>
    <col min="7" max="7" width="41.42578125" style="21" customWidth="1"/>
    <col min="8" max="31" width="11.42578125" style="21" customWidth="1"/>
  </cols>
  <sheetData>
    <row r="2" spans="1:31" s="15" customFormat="1" ht="18.75" customHeight="1">
      <c r="A2" s="132" t="s">
        <v>446</v>
      </c>
      <c r="B2" s="132" t="s">
        <v>435</v>
      </c>
      <c r="C2" s="132" t="s">
        <v>449</v>
      </c>
      <c r="D2" s="132" t="s">
        <v>772</v>
      </c>
      <c r="E2" s="132" t="s">
        <v>450</v>
      </c>
      <c r="G2" s="137" t="s">
        <v>67</v>
      </c>
      <c r="H2" s="137" t="s">
        <v>40</v>
      </c>
      <c r="I2" s="137" t="s">
        <v>41</v>
      </c>
      <c r="J2" s="137" t="s">
        <v>42</v>
      </c>
      <c r="K2" s="137" t="s">
        <v>43</v>
      </c>
      <c r="L2" s="137" t="s">
        <v>44</v>
      </c>
      <c r="M2" s="137" t="s">
        <v>45</v>
      </c>
      <c r="N2" s="137" t="s">
        <v>46</v>
      </c>
      <c r="O2" s="137" t="s">
        <v>47</v>
      </c>
      <c r="P2" s="137" t="s">
        <v>48</v>
      </c>
      <c r="Q2" s="137" t="s">
        <v>49</v>
      </c>
      <c r="R2" s="137" t="s">
        <v>50</v>
      </c>
      <c r="S2" s="137" t="s">
        <v>51</v>
      </c>
      <c r="T2" s="137" t="s">
        <v>52</v>
      </c>
      <c r="U2" s="137" t="s">
        <v>53</v>
      </c>
      <c r="V2" s="137" t="s">
        <v>54</v>
      </c>
      <c r="W2" s="137" t="s">
        <v>55</v>
      </c>
      <c r="X2" s="137" t="s">
        <v>56</v>
      </c>
      <c r="Y2" s="137" t="s">
        <v>57</v>
      </c>
      <c r="Z2" s="137" t="s">
        <v>58</v>
      </c>
      <c r="AA2" s="137" t="s">
        <v>59</v>
      </c>
      <c r="AB2" s="137" t="s">
        <v>60</v>
      </c>
      <c r="AC2" s="137" t="s">
        <v>61</v>
      </c>
      <c r="AD2" s="137" t="s">
        <v>62</v>
      </c>
      <c r="AE2" s="137" t="s">
        <v>63</v>
      </c>
    </row>
    <row r="3" spans="1:31" ht="18.75" customHeight="1">
      <c r="A3" s="62" t="s">
        <v>440</v>
      </c>
      <c r="B3" s="24">
        <f>'Trading Report'!C291</f>
        <v>0</v>
      </c>
      <c r="C3" s="24">
        <f>MIN('Trading Report'!C3:C290)</f>
        <v>0</v>
      </c>
      <c r="D3" s="24">
        <f>AVERAGE('Trading Report'!C3:C290)</f>
        <v>0</v>
      </c>
      <c r="E3" s="24">
        <f>MAX('Trading Report'!C3:C290)</f>
        <v>0</v>
      </c>
      <c r="G3" s="20" t="s">
        <v>64</v>
      </c>
      <c r="H3" s="143">
        <f>MAX(TA!E3:E14)</f>
        <v>0</v>
      </c>
      <c r="I3" s="143">
        <f>MAX(TA!E15:E26)</f>
        <v>0</v>
      </c>
      <c r="J3" s="143">
        <f>MAX('Trading Report'!E27:E38)</f>
        <v>0</v>
      </c>
      <c r="K3" s="143">
        <f>MAX(TA!E39:E50)</f>
        <v>0</v>
      </c>
      <c r="L3" s="143">
        <f>MAX(TA!E51:E62)</f>
        <v>0</v>
      </c>
      <c r="M3" s="143">
        <f>MAX(TA!E63:E74)</f>
        <v>0</v>
      </c>
      <c r="N3" s="143">
        <f>MAX(TA!E75:E86)</f>
        <v>0</v>
      </c>
      <c r="O3" s="143">
        <f>MAX(TA!E87:E98)</f>
        <v>0</v>
      </c>
      <c r="P3" s="143">
        <f>MAX(TA!E99:E110)</f>
        <v>0</v>
      </c>
      <c r="Q3" s="143">
        <f>MAX(TA!E111:E122)</f>
        <v>0</v>
      </c>
      <c r="R3" s="143">
        <f>MAX(TA!E123:E134)</f>
        <v>0</v>
      </c>
      <c r="S3" s="143">
        <f>MAX(TA!E135:E146)</f>
        <v>0</v>
      </c>
      <c r="T3" s="143">
        <f>MAX(TA!E147:E158)</f>
        <v>0</v>
      </c>
      <c r="U3" s="143">
        <f>MAX(TA!E159:E170)</f>
        <v>0</v>
      </c>
      <c r="V3" s="143">
        <f>MAX(TA!E171:E182)</f>
        <v>0</v>
      </c>
      <c r="W3" s="143">
        <f>MAX(TA!E183:E194)</f>
        <v>0</v>
      </c>
      <c r="X3" s="143">
        <f>MAX(TA!E195:E206)</f>
        <v>0</v>
      </c>
      <c r="Y3" s="143">
        <f>MAX(TA!E207:E218)</f>
        <v>0</v>
      </c>
      <c r="Z3" s="143">
        <f>MAX(TA!E219:E230)</f>
        <v>0</v>
      </c>
      <c r="AA3" s="143">
        <f>MAX(TA!E231:E242)</f>
        <v>0</v>
      </c>
      <c r="AB3" s="143">
        <f>MAX(TA!E243:E254)</f>
        <v>0</v>
      </c>
      <c r="AC3" s="143">
        <f>MAX(TA!E255:E266)</f>
        <v>0</v>
      </c>
      <c r="AD3" s="143">
        <f>MAX(TA!E267:E278)</f>
        <v>0</v>
      </c>
      <c r="AE3" s="143">
        <f>MAX(TA!E279:E290)</f>
        <v>0</v>
      </c>
    </row>
    <row r="4" spans="1:31" ht="18.75" customHeight="1">
      <c r="A4" s="62" t="s">
        <v>441</v>
      </c>
      <c r="B4" s="24">
        <f>'Trading Report'!D291</f>
        <v>0</v>
      </c>
      <c r="C4" s="24">
        <f>MIN('Trading Report'!D3:D290)</f>
        <v>0</v>
      </c>
      <c r="D4" s="24">
        <f>AVERAGE('Trading Report'!D3:D290)</f>
        <v>0</v>
      </c>
      <c r="E4" s="24">
        <f>MAX('Trading Report'!D3:D290)</f>
        <v>0</v>
      </c>
      <c r="G4" s="20" t="s">
        <v>65</v>
      </c>
      <c r="H4" s="143">
        <f>AVERAGE(TA!E3:E14)</f>
        <v>0</v>
      </c>
      <c r="I4" s="143">
        <f>AVERAGE(TA!E15:E26)</f>
        <v>0</v>
      </c>
      <c r="J4" s="143">
        <f>AVERAGE(TA!E27:E38)</f>
        <v>0</v>
      </c>
      <c r="K4" s="143">
        <f>AVERAGE(TA!E39:E50)</f>
        <v>0</v>
      </c>
      <c r="L4" s="143">
        <f>AVERAGE(TA!E51:E62)</f>
        <v>0</v>
      </c>
      <c r="M4" s="143">
        <f>AVERAGE(TA!E63:E74)</f>
        <v>0</v>
      </c>
      <c r="N4" s="143">
        <f>AVERAGE(TA!E75:E86)</f>
        <v>0</v>
      </c>
      <c r="O4" s="143">
        <f>AVERAGE(TA!E87:E98)</f>
        <v>0</v>
      </c>
      <c r="P4" s="143">
        <f>AVERAGE(TA!E99:E110)</f>
        <v>0</v>
      </c>
      <c r="Q4" s="143">
        <f>AVERAGE(TA!E111:E122)</f>
        <v>0</v>
      </c>
      <c r="R4" s="143">
        <f>AVERAGE(TA!E123:E134)</f>
        <v>0</v>
      </c>
      <c r="S4" s="143">
        <f>AVERAGE(TA!E135:E146)</f>
        <v>0</v>
      </c>
      <c r="T4" s="143">
        <f>AVERAGE(TA!E147:E158)</f>
        <v>0</v>
      </c>
      <c r="U4" s="143">
        <f>AVERAGE(TA!E159:E170)</f>
        <v>0</v>
      </c>
      <c r="V4" s="143">
        <f>AVERAGE(TA!E171:E182)</f>
        <v>0</v>
      </c>
      <c r="W4" s="143">
        <f>AVERAGE(TA!E183:E194)</f>
        <v>0</v>
      </c>
      <c r="X4" s="143">
        <f>AVERAGE(TA!E195:E206)</f>
        <v>0</v>
      </c>
      <c r="Y4" s="143">
        <f>AVERAGE(TA!E207:E218)</f>
        <v>0</v>
      </c>
      <c r="Z4" s="143">
        <f>AVERAGE(TA!E219:E230)</f>
        <v>0</v>
      </c>
      <c r="AA4" s="143">
        <f>AVERAGE(TA!E231:E242)</f>
        <v>0</v>
      </c>
      <c r="AB4" s="143">
        <f>AVERAGE(TA!E243:E254)</f>
        <v>0</v>
      </c>
      <c r="AC4" s="143">
        <f>AVERAGE(TA!E255:E266)</f>
        <v>0</v>
      </c>
      <c r="AD4" s="143">
        <f>AVERAGE(TA!E267:E278)</f>
        <v>0</v>
      </c>
      <c r="AE4" s="143">
        <f>AVERAGE(TA!E279:E290)</f>
        <v>0</v>
      </c>
    </row>
    <row r="5" spans="1:31" ht="18.75" customHeight="1">
      <c r="A5" s="62" t="s">
        <v>442</v>
      </c>
      <c r="B5" s="24">
        <f>'Trading Report'!E291</f>
        <v>0</v>
      </c>
      <c r="C5" s="24">
        <f>MIN('Trading Report'!E3:E290)</f>
        <v>0</v>
      </c>
      <c r="D5" s="24">
        <f>AVERAGE('Trading Report'!E3:E290)</f>
        <v>0</v>
      </c>
      <c r="E5" s="24">
        <f>MAX('Trading Report'!E3:E290)</f>
        <v>0</v>
      </c>
      <c r="G5" s="20" t="s">
        <v>66</v>
      </c>
      <c r="H5" s="143">
        <f>MIN(TA!E3:E14)</f>
        <v>0</v>
      </c>
      <c r="I5" s="143">
        <f>MIN(TA!E15:E26)</f>
        <v>0</v>
      </c>
      <c r="J5" s="143">
        <f>MIN(TA!E27:E38)</f>
        <v>0</v>
      </c>
      <c r="K5" s="143">
        <f>MIN(TA!E39:E50)</f>
        <v>0</v>
      </c>
      <c r="L5" s="143">
        <f>MIN(TA!E51:E62)</f>
        <v>0</v>
      </c>
      <c r="M5" s="143">
        <f>MIN(TA!E63:E74)</f>
        <v>0</v>
      </c>
      <c r="N5" s="143">
        <f>MIN(TA!E75:E86)</f>
        <v>0</v>
      </c>
      <c r="O5" s="143">
        <f>MIN(TA!E87:E98)</f>
        <v>0</v>
      </c>
      <c r="P5" s="143">
        <f>MIN(TA!E99:E110)</f>
        <v>0</v>
      </c>
      <c r="Q5" s="143">
        <f>MIN(TA!E111:E122)</f>
        <v>0</v>
      </c>
      <c r="R5" s="143">
        <f>MIN(TA!E123:E134)</f>
        <v>0</v>
      </c>
      <c r="S5" s="143">
        <f>MIN(TA!E135:E146)</f>
        <v>0</v>
      </c>
      <c r="T5" s="143">
        <f>MIN(TA!E147:E158)</f>
        <v>0</v>
      </c>
      <c r="U5" s="143">
        <f>MIN(TA!E159:E170)</f>
        <v>0</v>
      </c>
      <c r="V5" s="143">
        <f>MIN(TA!E171:E182)</f>
        <v>0</v>
      </c>
      <c r="W5" s="143">
        <f>MIN(TA!E183:E194)</f>
        <v>0</v>
      </c>
      <c r="X5" s="143">
        <f>MIN(TA!E195:E206)</f>
        <v>0</v>
      </c>
      <c r="Y5" s="143">
        <f>MIN(TA!E207:E218)</f>
        <v>0</v>
      </c>
      <c r="Z5" s="143">
        <f>MIN(TA!E219:E230)</f>
        <v>0</v>
      </c>
      <c r="AA5" s="143">
        <f>MIN(TA!E231:E242)</f>
        <v>0</v>
      </c>
      <c r="AB5" s="143">
        <f>MIN(TA!E243:E254)</f>
        <v>0</v>
      </c>
      <c r="AC5" s="143">
        <f>MIN(TA!E255:E266)</f>
        <v>0</v>
      </c>
      <c r="AD5" s="143">
        <f>MIN(TA!E267:E278)</f>
        <v>0</v>
      </c>
      <c r="AE5" s="143">
        <f>MIN(TA!E279:E290)</f>
        <v>0</v>
      </c>
    </row>
    <row r="6" spans="1:31" ht="18.75" customHeight="1">
      <c r="A6" s="201" t="s">
        <v>818</v>
      </c>
      <c r="B6" s="24">
        <f>SUM(H19:AE19)</f>
        <v>0</v>
      </c>
      <c r="C6" s="24">
        <f>MIN('Trading Report'!G3:G290)</f>
        <v>0</v>
      </c>
      <c r="D6" s="24">
        <f>AVERAGE('Trading Report'!G3:G290)</f>
        <v>0</v>
      </c>
      <c r="E6" s="24">
        <f>MAX('Trading Report'!G3:G290)</f>
        <v>0</v>
      </c>
      <c r="G6" s="25"/>
      <c r="H6" s="202"/>
      <c r="I6" s="202"/>
      <c r="J6" s="202"/>
      <c r="K6" s="202"/>
      <c r="L6" s="202"/>
      <c r="M6" s="202"/>
      <c r="N6" s="202"/>
      <c r="O6" s="202"/>
      <c r="P6" s="202"/>
      <c r="Q6" s="202"/>
      <c r="R6" s="202"/>
      <c r="S6" s="202"/>
      <c r="T6" s="202"/>
      <c r="U6" s="202"/>
      <c r="V6" s="202"/>
      <c r="W6" s="202"/>
      <c r="X6" s="202"/>
      <c r="Y6" s="202"/>
      <c r="Z6" s="202"/>
      <c r="AA6" s="202"/>
      <c r="AB6" s="202"/>
      <c r="AC6" s="202"/>
      <c r="AD6" s="202"/>
      <c r="AE6" s="202"/>
    </row>
    <row r="7" spans="1:31" ht="18.75" customHeight="1">
      <c r="A7" s="201" t="s">
        <v>814</v>
      </c>
      <c r="B7" s="24">
        <f>SUM(H33:AE33)</f>
        <v>0</v>
      </c>
      <c r="C7" s="24">
        <f>MIN('Trading Report'!H3:H290)</f>
        <v>0</v>
      </c>
      <c r="D7" s="24">
        <f>AVERAGE('Trading Report'!H3:H290)</f>
        <v>0</v>
      </c>
      <c r="E7" s="24">
        <f>MAX('Trading Report'!H3:H290)</f>
        <v>0</v>
      </c>
    </row>
    <row r="8" spans="1:31" ht="18.75" customHeight="1">
      <c r="A8" s="201" t="s">
        <v>815</v>
      </c>
      <c r="B8" s="24">
        <f>SUM(H47:AE47)</f>
        <v>0</v>
      </c>
      <c r="C8" s="24">
        <f>MIN('Trading Report'!I3:I290)</f>
        <v>0</v>
      </c>
      <c r="D8" s="24">
        <f>AVERAGE('Trading Report'!I3:I290)</f>
        <v>0</v>
      </c>
      <c r="E8" s="24">
        <f>MAX('Trading Report'!I3:I290)</f>
        <v>0</v>
      </c>
      <c r="G8" s="84" t="s">
        <v>779</v>
      </c>
      <c r="H8" s="84" t="s">
        <v>40</v>
      </c>
      <c r="I8" s="84" t="s">
        <v>41</v>
      </c>
      <c r="J8" s="84" t="s">
        <v>42</v>
      </c>
      <c r="K8" s="84" t="s">
        <v>43</v>
      </c>
      <c r="L8" s="84" t="s">
        <v>44</v>
      </c>
      <c r="M8" s="84" t="s">
        <v>45</v>
      </c>
      <c r="N8" s="84" t="s">
        <v>46</v>
      </c>
      <c r="O8" s="84" t="s">
        <v>47</v>
      </c>
      <c r="P8" s="84" t="s">
        <v>48</v>
      </c>
      <c r="Q8" s="84" t="s">
        <v>49</v>
      </c>
      <c r="R8" s="84" t="s">
        <v>50</v>
      </c>
      <c r="S8" s="84" t="s">
        <v>51</v>
      </c>
      <c r="T8" s="84" t="s">
        <v>52</v>
      </c>
      <c r="U8" s="84" t="s">
        <v>53</v>
      </c>
      <c r="V8" s="84" t="s">
        <v>54</v>
      </c>
      <c r="W8" s="84" t="s">
        <v>55</v>
      </c>
      <c r="X8" s="84" t="s">
        <v>56</v>
      </c>
      <c r="Y8" s="84" t="s">
        <v>57</v>
      </c>
      <c r="Z8" s="84" t="s">
        <v>58</v>
      </c>
      <c r="AA8" s="84" t="s">
        <v>59</v>
      </c>
      <c r="AB8" s="84" t="s">
        <v>60</v>
      </c>
      <c r="AC8" s="84" t="s">
        <v>61</v>
      </c>
      <c r="AD8" s="84" t="s">
        <v>62</v>
      </c>
      <c r="AE8" s="84" t="s">
        <v>63</v>
      </c>
    </row>
    <row r="9" spans="1:31" ht="18.75" customHeight="1">
      <c r="A9" s="201" t="s">
        <v>813</v>
      </c>
      <c r="B9" s="277"/>
      <c r="C9" s="278"/>
      <c r="D9" s="278"/>
      <c r="E9" s="279"/>
      <c r="G9" s="20" t="s">
        <v>64</v>
      </c>
      <c r="H9" s="187">
        <f>MAX('Trading Report'!C$3:C$14)</f>
        <v>0</v>
      </c>
      <c r="I9" s="187">
        <f>MAX('Trading Report'!C$15:C$26)</f>
        <v>0</v>
      </c>
      <c r="J9" s="187">
        <f>MAX('Trading Report'!C$27:C$38)</f>
        <v>0</v>
      </c>
      <c r="K9" s="187">
        <f>MAX('Trading Report'!C$39:C$50)</f>
        <v>0</v>
      </c>
      <c r="L9" s="187">
        <f>MAX('Trading Report'!C$51:C$62)</f>
        <v>0</v>
      </c>
      <c r="M9" s="187">
        <f>MAX('Trading Report'!C$63:C$74)</f>
        <v>0</v>
      </c>
      <c r="N9" s="187">
        <f>MAX('Trading Report'!C$75:C$86)</f>
        <v>0</v>
      </c>
      <c r="O9" s="187">
        <f>MAX('Trading Report'!C$87:C$98)</f>
        <v>0</v>
      </c>
      <c r="P9" s="187">
        <f>MAX('Trading Report'!C$99:C$110)</f>
        <v>0</v>
      </c>
      <c r="Q9" s="187">
        <f>MAX('Trading Report'!C$111:C$122)</f>
        <v>0</v>
      </c>
      <c r="R9" s="187">
        <f>MAX('Trading Report'!C$123:C$134)</f>
        <v>0</v>
      </c>
      <c r="S9" s="187">
        <f>MAX('Trading Report'!C$135:C$146)</f>
        <v>0</v>
      </c>
      <c r="T9" s="187">
        <f>MAX('Trading Report'!C$147:C$158)</f>
        <v>0</v>
      </c>
      <c r="U9" s="187">
        <f>MAX('Trading Report'!C$159:C$170)</f>
        <v>0</v>
      </c>
      <c r="V9" s="187">
        <f>MAX('Trading Report'!C$171:C$182)</f>
        <v>0</v>
      </c>
      <c r="W9" s="187">
        <f>MAX('Trading Report'!C$183:C$194)</f>
        <v>0</v>
      </c>
      <c r="X9" s="187">
        <f>MAX('Trading Report'!C$195:C$206)</f>
        <v>0</v>
      </c>
      <c r="Y9" s="187">
        <f>MAX('Trading Report'!C$207:C$218)</f>
        <v>0</v>
      </c>
      <c r="Z9" s="187">
        <f>MAX('Trading Report'!C$219:C$230)</f>
        <v>0</v>
      </c>
      <c r="AA9" s="187">
        <f>MAX('Trading Report'!C$231:C$242)</f>
        <v>0</v>
      </c>
      <c r="AB9" s="187">
        <f>MAX('Trading Report'!C$243:C$254)</f>
        <v>0</v>
      </c>
      <c r="AC9" s="187">
        <f>MAX('Trading Report'!C$255:C$266)</f>
        <v>0</v>
      </c>
      <c r="AD9" s="187">
        <f>MAX('Trading Report'!C$267:C$278)</f>
        <v>0</v>
      </c>
      <c r="AE9" s="187">
        <f>MAX('Trading Report'!C$279:C$290)</f>
        <v>0</v>
      </c>
    </row>
    <row r="10" spans="1:31" s="15" customFormat="1" ht="18.75" customHeight="1">
      <c r="A10" s="129" t="s">
        <v>760</v>
      </c>
      <c r="B10" s="24">
        <f>MQ!AD1</f>
        <v>0</v>
      </c>
      <c r="C10" s="24">
        <f>MIN(MQ!AD3:AD290)</f>
        <v>0</v>
      </c>
      <c r="D10" s="24">
        <f>AVERAGE(MQ!AD3:AD290)</f>
        <v>0</v>
      </c>
      <c r="E10" s="24">
        <f>MAX(MQ!AD3:AD290)</f>
        <v>0</v>
      </c>
      <c r="G10" s="20" t="s">
        <v>65</v>
      </c>
      <c r="H10" s="187">
        <f>AVERAGE('Trading Report'!C$3:C$14)</f>
        <v>0</v>
      </c>
      <c r="I10" s="187">
        <f>AVERAGE('Trading Report'!C$15:C$26)</f>
        <v>0</v>
      </c>
      <c r="J10" s="187">
        <f>AVERAGE('Trading Report'!C$27:C$38)</f>
        <v>0</v>
      </c>
      <c r="K10" s="187">
        <f>AVERAGE('Trading Report'!C$39:C$50)</f>
        <v>0</v>
      </c>
      <c r="L10" s="187">
        <f>AVERAGE('Trading Report'!C$51:C$62)</f>
        <v>0</v>
      </c>
      <c r="M10" s="187" t="e">
        <f>AVERAGE('Trading Report'!C$63:C$74)</f>
        <v>#DIV/0!</v>
      </c>
      <c r="N10" s="187" t="e">
        <f>AVERAGE('Trading Report'!C$75:C$86)</f>
        <v>#DIV/0!</v>
      </c>
      <c r="O10" s="187" t="e">
        <f>AVERAGE('Trading Report'!C$87:C$98)</f>
        <v>#DIV/0!</v>
      </c>
      <c r="P10" s="187" t="e">
        <f>AVERAGE('Trading Report'!C$99:C$110)</f>
        <v>#DIV/0!</v>
      </c>
      <c r="Q10" s="187" t="e">
        <f>AVERAGE('Trading Report'!C$111:C$122)</f>
        <v>#DIV/0!</v>
      </c>
      <c r="R10" s="187" t="e">
        <f>AVERAGE('Trading Report'!C$123:C$134)</f>
        <v>#DIV/0!</v>
      </c>
      <c r="S10" s="187" t="e">
        <f>AVERAGE('Trading Report'!C$135:C$146)</f>
        <v>#DIV/0!</v>
      </c>
      <c r="T10" s="187" t="e">
        <f>AVERAGE('Trading Report'!C$147:C$158)</f>
        <v>#DIV/0!</v>
      </c>
      <c r="U10" s="187" t="e">
        <f>AVERAGE('Trading Report'!C$159:C$170)</f>
        <v>#DIV/0!</v>
      </c>
      <c r="V10" s="187" t="e">
        <f>AVERAGE('Trading Report'!C$171:C$182)</f>
        <v>#DIV/0!</v>
      </c>
      <c r="W10" s="187" t="e">
        <f>AVERAGE('Trading Report'!C$183:C$194)</f>
        <v>#DIV/0!</v>
      </c>
      <c r="X10" s="187" t="e">
        <f>AVERAGE('Trading Report'!C$195:C$206)</f>
        <v>#DIV/0!</v>
      </c>
      <c r="Y10" s="187" t="e">
        <f>AVERAGE('Trading Report'!C$207:C$218)</f>
        <v>#DIV/0!</v>
      </c>
      <c r="Z10" s="187" t="e">
        <f>AVERAGE('Trading Report'!C$219:C$230)</f>
        <v>#DIV/0!</v>
      </c>
      <c r="AA10" s="187">
        <f>AVERAGE('Trading Report'!C$231:C$242)</f>
        <v>0</v>
      </c>
      <c r="AB10" s="187">
        <f>AVERAGE('Trading Report'!C$243:C$254)</f>
        <v>0</v>
      </c>
      <c r="AC10" s="187">
        <f>AVERAGE('Trading Report'!C$255:C$266)</f>
        <v>0</v>
      </c>
      <c r="AD10" s="187">
        <f>AVERAGE('Trading Report'!C$267:C$278)</f>
        <v>0</v>
      </c>
      <c r="AE10" s="187">
        <f>AVERAGE('Trading Report'!C$279:C$290)</f>
        <v>0</v>
      </c>
    </row>
    <row r="11" spans="1:31" ht="18.75" customHeight="1">
      <c r="A11" s="129" t="s">
        <v>761</v>
      </c>
      <c r="B11" s="24">
        <f>MQ!AE1</f>
        <v>0</v>
      </c>
      <c r="C11" s="24">
        <f>MIN(MQ!AE3:AE290)</f>
        <v>0</v>
      </c>
      <c r="D11" s="24">
        <f>AVERAGE(MQ!AE3:AE290)</f>
        <v>0</v>
      </c>
      <c r="E11" s="24">
        <f>MAX(MQ!AE3:AE290)</f>
        <v>0</v>
      </c>
      <c r="G11" s="20" t="s">
        <v>66</v>
      </c>
      <c r="H11" s="187">
        <f>MIN('Trading Report'!C$3:C$14)</f>
        <v>0</v>
      </c>
      <c r="I11" s="187">
        <f>MIN('Trading Report'!C$15:C$26)</f>
        <v>0</v>
      </c>
      <c r="J11" s="187">
        <f>MIN('Trading Report'!C$27:C$38)</f>
        <v>0</v>
      </c>
      <c r="K11" s="187">
        <f>MIN('Trading Report'!C$39:C$50)</f>
        <v>0</v>
      </c>
      <c r="L11" s="187">
        <f>MIN('Trading Report'!C$51:C$62)</f>
        <v>0</v>
      </c>
      <c r="M11" s="187">
        <f>MIN('Trading Report'!C$63:C$74)</f>
        <v>0</v>
      </c>
      <c r="N11" s="187">
        <f>MIN('Trading Report'!C$75:C$86)</f>
        <v>0</v>
      </c>
      <c r="O11" s="187">
        <f>MIN('Trading Report'!C$87:C$98)</f>
        <v>0</v>
      </c>
      <c r="P11" s="187">
        <f>MIN('Trading Report'!C$99:C$110)</f>
        <v>0</v>
      </c>
      <c r="Q11" s="187">
        <f>MIN('Trading Report'!C$111:C$122)</f>
        <v>0</v>
      </c>
      <c r="R11" s="187">
        <f>MIN('Trading Report'!C$123:C$134)</f>
        <v>0</v>
      </c>
      <c r="S11" s="187">
        <f>MIN('Trading Report'!C$135:C$146)</f>
        <v>0</v>
      </c>
      <c r="T11" s="187">
        <f>MIN('Trading Report'!C$147:C$158)</f>
        <v>0</v>
      </c>
      <c r="U11" s="187">
        <f>MIN('Trading Report'!C$159:C$170)</f>
        <v>0</v>
      </c>
      <c r="V11" s="187">
        <f>MIN('Trading Report'!C$171:C$182)</f>
        <v>0</v>
      </c>
      <c r="W11" s="187">
        <f>MIN('Trading Report'!C$183:C$194)</f>
        <v>0</v>
      </c>
      <c r="X11" s="187">
        <f>MIN('Trading Report'!C$195:C$206)</f>
        <v>0</v>
      </c>
      <c r="Y11" s="187">
        <f>MIN('Trading Report'!C$207:C$218)</f>
        <v>0</v>
      </c>
      <c r="Z11" s="187">
        <f>MIN('Trading Report'!C$219:C$230)</f>
        <v>0</v>
      </c>
      <c r="AA11" s="187">
        <f>MIN('Trading Report'!C$231:C$242)</f>
        <v>0</v>
      </c>
      <c r="AB11" s="187">
        <f>MIN('Trading Report'!C$243:C$254)</f>
        <v>0</v>
      </c>
      <c r="AC11" s="187">
        <f>MIN('Trading Report'!C$255:C$266)</f>
        <v>0</v>
      </c>
      <c r="AD11" s="187">
        <f>MIN('Trading Report'!C$267:C$278)</f>
        <v>0</v>
      </c>
      <c r="AE11" s="187">
        <f>MIN('Trading Report'!C$279:C$290)</f>
        <v>0</v>
      </c>
    </row>
    <row r="12" spans="1:31" ht="18.75" customHeight="1">
      <c r="A12" s="62" t="s">
        <v>443</v>
      </c>
      <c r="B12" s="24">
        <f>'Trading Report'!F291</f>
        <v>0</v>
      </c>
      <c r="C12" s="24">
        <f>MIN('Trading Report'!F3:F290)</f>
        <v>0</v>
      </c>
      <c r="D12" s="24">
        <f>AVERAGE('Trading Report'!F3:F290)</f>
        <v>0</v>
      </c>
      <c r="E12" s="24">
        <f>MAX('Trading Report'!F3:F290)</f>
        <v>0</v>
      </c>
      <c r="G12" s="20" t="s">
        <v>87</v>
      </c>
      <c r="H12" s="187">
        <f>SUM('Trading Report'!C$3:C$14)</f>
        <v>0</v>
      </c>
      <c r="I12" s="187">
        <f>SUM('Trading Report'!C$15:C$26)</f>
        <v>0</v>
      </c>
      <c r="J12" s="187">
        <f>SUM('Trading Report'!C$27:C$38)</f>
        <v>0</v>
      </c>
      <c r="K12" s="187">
        <f>SUM('Trading Report'!C$39:C$50)</f>
        <v>0</v>
      </c>
      <c r="L12" s="187">
        <f>SUM('Trading Report'!C$51:C$62)</f>
        <v>0</v>
      </c>
      <c r="M12" s="187">
        <f>SUM('Trading Report'!C$63:C$74)</f>
        <v>0</v>
      </c>
      <c r="N12" s="187">
        <f>SUM('Trading Report'!C$75:C$86)</f>
        <v>0</v>
      </c>
      <c r="O12" s="187">
        <f>SUM('Trading Report'!C$87:C$98)</f>
        <v>0</v>
      </c>
      <c r="P12" s="187">
        <f>SUM('Trading Report'!C$99:C$110)</f>
        <v>0</v>
      </c>
      <c r="Q12" s="187">
        <f>SUM('Trading Report'!C$111:C$122)</f>
        <v>0</v>
      </c>
      <c r="R12" s="187">
        <f>SUM('Trading Report'!C$123:C$134)</f>
        <v>0</v>
      </c>
      <c r="S12" s="187">
        <f>SUM('Trading Report'!C$135:C$146)</f>
        <v>0</v>
      </c>
      <c r="T12" s="187">
        <f>SUM('Trading Report'!C$147:C$158)</f>
        <v>0</v>
      </c>
      <c r="U12" s="187">
        <f>SUM('Trading Report'!C$159:C$170)</f>
        <v>0</v>
      </c>
      <c r="V12" s="187">
        <f>SUM('Trading Report'!C$171:C$182)</f>
        <v>0</v>
      </c>
      <c r="W12" s="187">
        <f>SUM('Trading Report'!C$183:C$194)</f>
        <v>0</v>
      </c>
      <c r="X12" s="187">
        <f>SUM('Trading Report'!C$195:C$206)</f>
        <v>0</v>
      </c>
      <c r="Y12" s="187">
        <f>SUM('Trading Report'!C$207:C$218)</f>
        <v>0</v>
      </c>
      <c r="Z12" s="187">
        <f>SUM('Trading Report'!C$219:C$230)</f>
        <v>0</v>
      </c>
      <c r="AA12" s="187">
        <f>SUM('Trading Report'!C$231:C$242)</f>
        <v>0</v>
      </c>
      <c r="AB12" s="187">
        <f>SUM('Trading Report'!C$243:C$254)</f>
        <v>0</v>
      </c>
      <c r="AC12" s="187">
        <f>SUM('Trading Report'!C$255:C$266)</f>
        <v>0</v>
      </c>
      <c r="AD12" s="187">
        <f>SUM('Trading Report'!C$267:C$278)</f>
        <v>0</v>
      </c>
      <c r="AE12" s="187">
        <f>SUM('Trading Report'!C$279:C$290)</f>
        <v>0</v>
      </c>
    </row>
    <row r="13" spans="1:31" ht="18.75" customHeight="1">
      <c r="A13" s="61"/>
      <c r="G13" s="25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</row>
    <row r="14" spans="1:31" ht="18.75" customHeight="1">
      <c r="A14" s="133" t="s">
        <v>448</v>
      </c>
      <c r="B14" s="133" t="s">
        <v>435</v>
      </c>
      <c r="C14" s="133" t="s">
        <v>449</v>
      </c>
      <c r="D14" s="133" t="s">
        <v>772</v>
      </c>
      <c r="E14" s="133" t="s">
        <v>450</v>
      </c>
    </row>
    <row r="15" spans="1:31" ht="18.75" customHeight="1">
      <c r="A15" s="62" t="s">
        <v>444</v>
      </c>
      <c r="B15" s="131"/>
      <c r="C15" s="130">
        <f>MIN(TA!E3:E290)</f>
        <v>0</v>
      </c>
      <c r="D15" s="130">
        <f>AVERAGE(TA!E3:E290)</f>
        <v>0</v>
      </c>
      <c r="E15" s="130">
        <f>MAX(TA!E3:E290)</f>
        <v>0</v>
      </c>
      <c r="G15" s="203" t="s">
        <v>816</v>
      </c>
      <c r="H15" s="203" t="s">
        <v>40</v>
      </c>
      <c r="I15" s="203" t="s">
        <v>41</v>
      </c>
      <c r="J15" s="203" t="s">
        <v>42</v>
      </c>
      <c r="K15" s="203" t="s">
        <v>43</v>
      </c>
      <c r="L15" s="203" t="s">
        <v>44</v>
      </c>
      <c r="M15" s="203" t="s">
        <v>45</v>
      </c>
      <c r="N15" s="203" t="s">
        <v>46</v>
      </c>
      <c r="O15" s="203" t="s">
        <v>47</v>
      </c>
      <c r="P15" s="203" t="s">
        <v>48</v>
      </c>
      <c r="Q15" s="203" t="s">
        <v>49</v>
      </c>
      <c r="R15" s="203" t="s">
        <v>50</v>
      </c>
      <c r="S15" s="203" t="s">
        <v>51</v>
      </c>
      <c r="T15" s="203" t="s">
        <v>52</v>
      </c>
      <c r="U15" s="203" t="s">
        <v>53</v>
      </c>
      <c r="V15" s="203" t="s">
        <v>54</v>
      </c>
      <c r="W15" s="203" t="s">
        <v>55</v>
      </c>
      <c r="X15" s="203" t="s">
        <v>56</v>
      </c>
      <c r="Y15" s="203" t="s">
        <v>57</v>
      </c>
      <c r="Z15" s="203" t="s">
        <v>58</v>
      </c>
      <c r="AA15" s="203" t="s">
        <v>59</v>
      </c>
      <c r="AB15" s="203" t="s">
        <v>60</v>
      </c>
      <c r="AC15" s="203" t="s">
        <v>61</v>
      </c>
      <c r="AD15" s="203" t="s">
        <v>62</v>
      </c>
      <c r="AE15" s="203" t="s">
        <v>63</v>
      </c>
    </row>
    <row r="16" spans="1:31" ht="18.75" customHeight="1">
      <c r="A16" s="62" t="s">
        <v>445</v>
      </c>
      <c r="B16" s="274"/>
      <c r="C16" s="275"/>
      <c r="D16" s="275"/>
      <c r="E16" s="276"/>
      <c r="G16" s="20" t="s">
        <v>64</v>
      </c>
      <c r="H16" s="187">
        <f>MAX('Trading Report'!G$3:G$14)</f>
        <v>0</v>
      </c>
      <c r="I16" s="187">
        <f>MAX('Trading Report'!G$15:G$26)</f>
        <v>0</v>
      </c>
      <c r="J16" s="187">
        <f>MAX('Trading Report'!G$27:G$38)</f>
        <v>0</v>
      </c>
      <c r="K16" s="187">
        <f>MAX('Trading Report'!G$39:G$50)</f>
        <v>0</v>
      </c>
      <c r="L16" s="187">
        <f>MAX('Trading Report'!G$51:G$62)</f>
        <v>0</v>
      </c>
      <c r="M16" s="187">
        <f>MAX('Trading Report'!G$63:G$74)</f>
        <v>0</v>
      </c>
      <c r="N16" s="187">
        <f>MAX('Trading Report'!G$75:G$86)</f>
        <v>0</v>
      </c>
      <c r="O16" s="187">
        <f>MAX('Trading Report'!G$87:G$98)</f>
        <v>0</v>
      </c>
      <c r="P16" s="187">
        <f>MAX('Trading Report'!G$99:G$110)</f>
        <v>0</v>
      </c>
      <c r="Q16" s="187">
        <f>MAX('Trading Report'!G$111:G$122)</f>
        <v>0</v>
      </c>
      <c r="R16" s="187">
        <f>MAX('Trading Report'!G$123:G$134)</f>
        <v>0</v>
      </c>
      <c r="S16" s="187">
        <f>MAX('Trading Report'!G$135:G$146)</f>
        <v>0</v>
      </c>
      <c r="T16" s="187">
        <f>MAX('Trading Report'!G$147:G$158)</f>
        <v>0</v>
      </c>
      <c r="U16" s="187">
        <f>MAX('Trading Report'!G$159:G$170)</f>
        <v>0</v>
      </c>
      <c r="V16" s="187">
        <f>MAX('Trading Report'!G$171:G$182)</f>
        <v>0</v>
      </c>
      <c r="W16" s="187">
        <f>MAX('Trading Report'!G$183:G$194)</f>
        <v>0</v>
      </c>
      <c r="X16" s="187">
        <f>MAX('Trading Report'!G$195:G$206)</f>
        <v>0</v>
      </c>
      <c r="Y16" s="187">
        <f>MAX('Trading Report'!G$207:G$218)</f>
        <v>0</v>
      </c>
      <c r="Z16" s="187">
        <f>MAX('Trading Report'!G$219:G$230)</f>
        <v>0</v>
      </c>
      <c r="AA16" s="187">
        <f>MAX('Trading Report'!G$231:G$242)</f>
        <v>0</v>
      </c>
      <c r="AB16" s="187">
        <f>MAX('Trading Report'!G$243:G$254)</f>
        <v>0</v>
      </c>
      <c r="AC16" s="187">
        <f>MAX('Trading Report'!G$255:G$266)</f>
        <v>0</v>
      </c>
      <c r="AD16" s="187">
        <f>MAX('Trading Report'!G$267:G$278)</f>
        <v>0</v>
      </c>
      <c r="AE16" s="187">
        <f>MAX('Trading Report'!G$279:G$290)</f>
        <v>0</v>
      </c>
    </row>
    <row r="17" spans="1:31" s="15" customFormat="1" ht="18.75" customHeight="1">
      <c r="A17" s="128" t="s">
        <v>762</v>
      </c>
      <c r="B17" s="268">
        <f>TA!F291</f>
        <v>0</v>
      </c>
      <c r="C17" s="269"/>
      <c r="D17" s="269"/>
      <c r="E17" s="270"/>
      <c r="G17" s="20" t="s">
        <v>65</v>
      </c>
      <c r="H17" s="187">
        <f>AVERAGE('Trading Report'!G$3:G$14)</f>
        <v>0</v>
      </c>
      <c r="I17" s="187">
        <f>AVERAGE('Trading Report'!G$15:G$26)</f>
        <v>0</v>
      </c>
      <c r="J17" s="187">
        <f>AVERAGE('Trading Report'!G$27:G$38)</f>
        <v>0</v>
      </c>
      <c r="K17" s="187">
        <f>AVERAGE('Trading Report'!G$39:G$50)</f>
        <v>0</v>
      </c>
      <c r="L17" s="187">
        <f>AVERAGE('Trading Report'!G$51:G$62)</f>
        <v>0</v>
      </c>
      <c r="M17" s="187">
        <f>AVERAGE('Trading Report'!G$63:G$74)</f>
        <v>0</v>
      </c>
      <c r="N17" s="187">
        <f>AVERAGE('Trading Report'!G$75:G$86)</f>
        <v>0</v>
      </c>
      <c r="O17" s="187">
        <f>AVERAGE('Trading Report'!G$87:G$98)</f>
        <v>0</v>
      </c>
      <c r="P17" s="187">
        <f>AVERAGE('Trading Report'!G$99:G$110)</f>
        <v>0</v>
      </c>
      <c r="Q17" s="187">
        <f>AVERAGE('Trading Report'!G$111:G$122)</f>
        <v>0</v>
      </c>
      <c r="R17" s="187">
        <f>AVERAGE('Trading Report'!G$123:G$134)</f>
        <v>0</v>
      </c>
      <c r="S17" s="187">
        <f>AVERAGE('Trading Report'!G$135:G$146)</f>
        <v>0</v>
      </c>
      <c r="T17" s="187">
        <f>AVERAGE('Trading Report'!G$147:G$158)</f>
        <v>0</v>
      </c>
      <c r="U17" s="187">
        <f>AVERAGE('Trading Report'!G$159:G$170)</f>
        <v>0</v>
      </c>
      <c r="V17" s="187">
        <f>AVERAGE('Trading Report'!G$171:G$182)</f>
        <v>0</v>
      </c>
      <c r="W17" s="187">
        <f>AVERAGE('Trading Report'!G$183:G$194)</f>
        <v>0</v>
      </c>
      <c r="X17" s="187">
        <f>AVERAGE('Trading Report'!G$195:G$206)</f>
        <v>0</v>
      </c>
      <c r="Y17" s="187">
        <f>AVERAGE('Trading Report'!G$207:G$218)</f>
        <v>0</v>
      </c>
      <c r="Z17" s="187">
        <f>AVERAGE('Trading Report'!G$219:G$230)</f>
        <v>0</v>
      </c>
      <c r="AA17" s="187">
        <f>AVERAGE('Trading Report'!G$231:G$242)</f>
        <v>0</v>
      </c>
      <c r="AB17" s="187">
        <f>AVERAGE('Trading Report'!G$243:G$254)</f>
        <v>0</v>
      </c>
      <c r="AC17" s="187">
        <f>AVERAGE('Trading Report'!G$255:G$266)</f>
        <v>0</v>
      </c>
      <c r="AD17" s="187">
        <f>AVERAGE('Trading Report'!G$267:G$278)</f>
        <v>0</v>
      </c>
      <c r="AE17" s="187">
        <f>AVERAGE('Trading Report'!G$279:G$290)</f>
        <v>0</v>
      </c>
    </row>
    <row r="18" spans="1:31" ht="18.75" customHeight="1">
      <c r="A18" s="128" t="s">
        <v>763</v>
      </c>
      <c r="B18" s="271">
        <f>TA!G291</f>
        <v>0</v>
      </c>
      <c r="C18" s="272"/>
      <c r="D18" s="272"/>
      <c r="E18" s="273"/>
      <c r="G18" s="20" t="s">
        <v>66</v>
      </c>
      <c r="H18" s="187">
        <f>MIN('Trading Report'!G$3:G$14)</f>
        <v>0</v>
      </c>
      <c r="I18" s="187">
        <f>MIN('Trading Report'!G$15:G$26)</f>
        <v>0</v>
      </c>
      <c r="J18" s="187">
        <f>MIN('Trading Report'!G$27:G$38)</f>
        <v>0</v>
      </c>
      <c r="K18" s="187">
        <f>MIN('Trading Report'!G$39:G$50)</f>
        <v>0</v>
      </c>
      <c r="L18" s="187">
        <f>MIN('Trading Report'!G$51:G$62)</f>
        <v>0</v>
      </c>
      <c r="M18" s="187">
        <f>MIN('Trading Report'!G$63:G$74)</f>
        <v>0</v>
      </c>
      <c r="N18" s="187">
        <f>MIN('Trading Report'!G$75:G$86)</f>
        <v>0</v>
      </c>
      <c r="O18" s="187">
        <f>MIN('Trading Report'!G$87:G$98)</f>
        <v>0</v>
      </c>
      <c r="P18" s="187">
        <f>MIN('Trading Report'!G$99:G$110)</f>
        <v>0</v>
      </c>
      <c r="Q18" s="187">
        <f>MIN('Trading Report'!G$111:G$122)</f>
        <v>0</v>
      </c>
      <c r="R18" s="187">
        <f>MIN('Trading Report'!G$123:G$134)</f>
        <v>0</v>
      </c>
      <c r="S18" s="187">
        <f>MIN('Trading Report'!G$135:G$146)</f>
        <v>0</v>
      </c>
      <c r="T18" s="187">
        <f>MIN('Trading Report'!G$147:G$158)</f>
        <v>0</v>
      </c>
      <c r="U18" s="187">
        <f>MIN('Trading Report'!G$159:G$170)</f>
        <v>0</v>
      </c>
      <c r="V18" s="187">
        <f>MIN('Trading Report'!G$171:G$182)</f>
        <v>0</v>
      </c>
      <c r="W18" s="187">
        <f>MIN('Trading Report'!G$183:G$194)</f>
        <v>0</v>
      </c>
      <c r="X18" s="187">
        <f>MIN('Trading Report'!G$195:G$206)</f>
        <v>0</v>
      </c>
      <c r="Y18" s="187">
        <f>MIN('Trading Report'!G$207:G$218)</f>
        <v>0</v>
      </c>
      <c r="Z18" s="187">
        <f>MIN('Trading Report'!G$219:G$230)</f>
        <v>0</v>
      </c>
      <c r="AA18" s="187">
        <f>MIN('Trading Report'!G$231:G$242)</f>
        <v>0</v>
      </c>
      <c r="AB18" s="187">
        <f>MIN('Trading Report'!G$243:G$254)</f>
        <v>0</v>
      </c>
      <c r="AC18" s="187">
        <f>MIN('Trading Report'!G$255:G$266)</f>
        <v>0</v>
      </c>
      <c r="AD18" s="187">
        <f>MIN('Trading Report'!G$267:G$278)</f>
        <v>0</v>
      </c>
      <c r="AE18" s="187">
        <f>MIN('Trading Report'!G$279:G$290)</f>
        <v>0</v>
      </c>
    </row>
    <row r="19" spans="1:31" ht="18.75" customHeight="1">
      <c r="G19" s="20" t="s">
        <v>87</v>
      </c>
      <c r="H19" s="187">
        <f>SUM('Trading Report'!G$3:G$14)</f>
        <v>0</v>
      </c>
      <c r="I19" s="187">
        <f>SUM('Trading Report'!G$15:G$26)</f>
        <v>0</v>
      </c>
      <c r="J19" s="187">
        <f>SUM('Trading Report'!G$27:G$38)</f>
        <v>0</v>
      </c>
      <c r="K19" s="187">
        <f>SUM('Trading Report'!G$39:G$50)</f>
        <v>0</v>
      </c>
      <c r="L19" s="187">
        <f>SUM('Trading Report'!G$51:G$62)</f>
        <v>0</v>
      </c>
      <c r="M19" s="187">
        <f>SUM('Trading Report'!G$63:G$74)</f>
        <v>0</v>
      </c>
      <c r="N19" s="187">
        <f>SUM('Trading Report'!G$75:G$86)</f>
        <v>0</v>
      </c>
      <c r="O19" s="187">
        <f>SUM('Trading Report'!G$87:G$98)</f>
        <v>0</v>
      </c>
      <c r="P19" s="187">
        <f>SUM('Trading Report'!G$99:G$110)</f>
        <v>0</v>
      </c>
      <c r="Q19" s="187">
        <f>SUM('Trading Report'!G$111:G$122)</f>
        <v>0</v>
      </c>
      <c r="R19" s="187">
        <f>SUM('Trading Report'!G$123:G$134)</f>
        <v>0</v>
      </c>
      <c r="S19" s="187">
        <f>SUM('Trading Report'!G$135:G$146)</f>
        <v>0</v>
      </c>
      <c r="T19" s="187">
        <f>SUM('Trading Report'!G$147:G$158)</f>
        <v>0</v>
      </c>
      <c r="U19" s="187">
        <f>SUM('Trading Report'!G$159:G$170)</f>
        <v>0</v>
      </c>
      <c r="V19" s="187">
        <f>SUM('Trading Report'!G$171:G$182)</f>
        <v>0</v>
      </c>
      <c r="W19" s="187">
        <f>SUM('Trading Report'!G$183:G$194)</f>
        <v>0</v>
      </c>
      <c r="X19" s="187">
        <f>SUM('Trading Report'!G$195:G$206)</f>
        <v>0</v>
      </c>
      <c r="Y19" s="187">
        <f>SUM('Trading Report'!G$207:G$218)</f>
        <v>0</v>
      </c>
      <c r="Z19" s="187">
        <f>SUM('Trading Report'!G$219:G$230)</f>
        <v>0</v>
      </c>
      <c r="AA19" s="187">
        <f>SUM('Trading Report'!G$231:G$242)</f>
        <v>0</v>
      </c>
      <c r="AB19" s="187">
        <f>SUM('Trading Report'!G$243:G$254)</f>
        <v>0</v>
      </c>
      <c r="AC19" s="187">
        <f>SUM('Trading Report'!G$255:G$266)</f>
        <v>0</v>
      </c>
      <c r="AD19" s="187">
        <f>SUM('Trading Report'!G$267:G$278)</f>
        <v>0</v>
      </c>
      <c r="AE19" s="187">
        <f>SUM('Trading Report'!G$279:G$290)</f>
        <v>0</v>
      </c>
    </row>
    <row r="20" spans="1:31" ht="18.75" customHeight="1">
      <c r="A20" s="267" t="s">
        <v>447</v>
      </c>
      <c r="B20" s="267"/>
      <c r="G20" s="25"/>
      <c r="H20" s="188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  <c r="T20" s="188"/>
      <c r="U20" s="188"/>
      <c r="V20" s="188"/>
      <c r="W20" s="188"/>
      <c r="X20" s="188"/>
      <c r="Y20" s="188"/>
      <c r="Z20" s="188"/>
      <c r="AA20" s="188"/>
      <c r="AB20" s="188"/>
      <c r="AC20" s="188"/>
      <c r="AD20" s="188"/>
      <c r="AE20" s="188"/>
    </row>
    <row r="21" spans="1:31" ht="18.75" customHeight="1">
      <c r="A21" s="62" t="s">
        <v>438</v>
      </c>
      <c r="B21" s="104">
        <f>Compliance!L7</f>
        <v>0.26528395610913402</v>
      </c>
    </row>
    <row r="22" spans="1:31" ht="18.75" customHeight="1">
      <c r="A22" s="62" t="s">
        <v>437</v>
      </c>
      <c r="B22" s="104" t="e">
        <f>Compliance!L6</f>
        <v>#DIV/0!</v>
      </c>
      <c r="G22" s="138" t="s">
        <v>780</v>
      </c>
      <c r="H22" s="138" t="s">
        <v>40</v>
      </c>
      <c r="I22" s="138" t="s">
        <v>41</v>
      </c>
      <c r="J22" s="138" t="s">
        <v>42</v>
      </c>
      <c r="K22" s="138" t="s">
        <v>43</v>
      </c>
      <c r="L22" s="138" t="s">
        <v>44</v>
      </c>
      <c r="M22" s="138" t="s">
        <v>45</v>
      </c>
      <c r="N22" s="138" t="s">
        <v>46</v>
      </c>
      <c r="O22" s="138" t="s">
        <v>47</v>
      </c>
      <c r="P22" s="138" t="s">
        <v>48</v>
      </c>
      <c r="Q22" s="138" t="s">
        <v>49</v>
      </c>
      <c r="R22" s="138" t="s">
        <v>50</v>
      </c>
      <c r="S22" s="138" t="s">
        <v>51</v>
      </c>
      <c r="T22" s="138" t="s">
        <v>52</v>
      </c>
      <c r="U22" s="138" t="s">
        <v>53</v>
      </c>
      <c r="V22" s="138" t="s">
        <v>54</v>
      </c>
      <c r="W22" s="138" t="s">
        <v>55</v>
      </c>
      <c r="X22" s="138" t="s">
        <v>56</v>
      </c>
      <c r="Y22" s="138" t="s">
        <v>57</v>
      </c>
      <c r="Z22" s="138" t="s">
        <v>58</v>
      </c>
      <c r="AA22" s="138" t="s">
        <v>59</v>
      </c>
      <c r="AB22" s="138" t="s">
        <v>60</v>
      </c>
      <c r="AC22" s="138" t="s">
        <v>61</v>
      </c>
      <c r="AD22" s="138" t="s">
        <v>62</v>
      </c>
      <c r="AE22" s="138" t="s">
        <v>63</v>
      </c>
    </row>
    <row r="23" spans="1:31" ht="18.75" customHeight="1">
      <c r="A23" s="61"/>
      <c r="G23" s="20" t="s">
        <v>64</v>
      </c>
      <c r="H23" s="187">
        <f>MAX('Trading Report'!D$3:D$14)</f>
        <v>0</v>
      </c>
      <c r="I23" s="187">
        <f>MAX('Trading Report'!D$15:D$26)</f>
        <v>0</v>
      </c>
      <c r="J23" s="187">
        <f>MAX('Trading Report'!D$27:D$38)</f>
        <v>0</v>
      </c>
      <c r="K23" s="187">
        <f>MAX('Trading Report'!D$39:D$50)</f>
        <v>0</v>
      </c>
      <c r="L23" s="187">
        <f>MAX('Trading Report'!D$51:D$62)</f>
        <v>0</v>
      </c>
      <c r="M23" s="187">
        <f>MAX('Trading Report'!D$63:D$74)</f>
        <v>0</v>
      </c>
      <c r="N23" s="187">
        <f>MAX('Trading Report'!D$75:D$86)</f>
        <v>0</v>
      </c>
      <c r="O23" s="187">
        <f>MAX('Trading Report'!D$87:D$98)</f>
        <v>0</v>
      </c>
      <c r="P23" s="187">
        <f>MAX('Trading Report'!D$99:D$110)</f>
        <v>0</v>
      </c>
      <c r="Q23" s="187">
        <f>MAX('Trading Report'!D$111:D$122)</f>
        <v>0</v>
      </c>
      <c r="R23" s="187">
        <f>MAX('Trading Report'!D$123:D$134)</f>
        <v>0</v>
      </c>
      <c r="S23" s="187">
        <f>MAX('Trading Report'!D$135:D$146)</f>
        <v>0</v>
      </c>
      <c r="T23" s="187">
        <f>MAX('Trading Report'!D$147:D$158)</f>
        <v>0</v>
      </c>
      <c r="U23" s="187">
        <f>MAX('Trading Report'!D$159:D$170)</f>
        <v>0</v>
      </c>
      <c r="V23" s="187">
        <f>MAX('Trading Report'!D$171:D$182)</f>
        <v>0</v>
      </c>
      <c r="W23" s="187">
        <f>MAX('Trading Report'!D$183:D$194)</f>
        <v>0</v>
      </c>
      <c r="X23" s="187">
        <f>MAX('Trading Report'!D$195:D$206)</f>
        <v>0</v>
      </c>
      <c r="Y23" s="187">
        <f>MAX('Trading Report'!D$207:D$218)</f>
        <v>0</v>
      </c>
      <c r="Z23" s="187">
        <f>MAX('Trading Report'!D$219:D$230)</f>
        <v>0</v>
      </c>
      <c r="AA23" s="187">
        <f>MAX('Trading Report'!D$231:D$242)</f>
        <v>0</v>
      </c>
      <c r="AB23" s="187">
        <f>MAX('Trading Report'!D$243:D$254)</f>
        <v>0</v>
      </c>
      <c r="AC23" s="187">
        <f>MAX('Trading Report'!D$255:D$266)</f>
        <v>0</v>
      </c>
      <c r="AD23" s="187">
        <f>MAX('Trading Report'!D$267:D$278)</f>
        <v>0</v>
      </c>
      <c r="AE23" s="187">
        <f>MAX('Trading Report'!D$279:D$290)</f>
        <v>0</v>
      </c>
    </row>
    <row r="24" spans="1:31" s="15" customFormat="1" ht="18.75" customHeight="1">
      <c r="A24" s="61"/>
      <c r="B24"/>
      <c r="C24"/>
      <c r="D24"/>
      <c r="E24"/>
      <c r="G24" s="20" t="s">
        <v>65</v>
      </c>
      <c r="H24" s="187">
        <f>AVERAGE('Trading Report'!D$3:D$14)</f>
        <v>0</v>
      </c>
      <c r="I24" s="187">
        <f>AVERAGE('Trading Report'!D$15:D$26)</f>
        <v>0</v>
      </c>
      <c r="J24" s="187">
        <f>AVERAGE('Trading Report'!D$27:D$38)</f>
        <v>0</v>
      </c>
      <c r="K24" s="187">
        <f>AVERAGE('Trading Report'!D$39:D$50)</f>
        <v>0</v>
      </c>
      <c r="L24" s="187">
        <f>AVERAGE('Trading Report'!D$51:D$62)</f>
        <v>0</v>
      </c>
      <c r="M24" s="187" t="e">
        <f>AVERAGE('Trading Report'!D$63:D$74)</f>
        <v>#DIV/0!</v>
      </c>
      <c r="N24" s="187" t="e">
        <f>AVERAGE('Trading Report'!D$75:D$86)</f>
        <v>#DIV/0!</v>
      </c>
      <c r="O24" s="187" t="e">
        <f>AVERAGE('Trading Report'!D$87:D$98)</f>
        <v>#DIV/0!</v>
      </c>
      <c r="P24" s="187" t="e">
        <f>AVERAGE('Trading Report'!D$99:D$110)</f>
        <v>#DIV/0!</v>
      </c>
      <c r="Q24" s="187" t="e">
        <f>AVERAGE('Trading Report'!D$111:D$122)</f>
        <v>#DIV/0!</v>
      </c>
      <c r="R24" s="187" t="e">
        <f>AVERAGE('Trading Report'!D$123:D$134)</f>
        <v>#DIV/0!</v>
      </c>
      <c r="S24" s="187" t="e">
        <f>AVERAGE('Trading Report'!D$135:D$146)</f>
        <v>#DIV/0!</v>
      </c>
      <c r="T24" s="187" t="e">
        <f>AVERAGE('Trading Report'!D$147:D$158)</f>
        <v>#DIV/0!</v>
      </c>
      <c r="U24" s="187" t="e">
        <f>AVERAGE('Trading Report'!D$159:D$170)</f>
        <v>#DIV/0!</v>
      </c>
      <c r="V24" s="187" t="e">
        <f>AVERAGE('Trading Report'!D$171:D$182)</f>
        <v>#DIV/0!</v>
      </c>
      <c r="W24" s="187" t="e">
        <f>AVERAGE('Trading Report'!D$183:D$194)</f>
        <v>#DIV/0!</v>
      </c>
      <c r="X24" s="187" t="e">
        <f>AVERAGE('Trading Report'!D$195:D$206)</f>
        <v>#DIV/0!</v>
      </c>
      <c r="Y24" s="187" t="e">
        <f>AVERAGE('Trading Report'!D$207:D$218)</f>
        <v>#DIV/0!</v>
      </c>
      <c r="Z24" s="187" t="e">
        <f>AVERAGE('Trading Report'!D$219:D$230)</f>
        <v>#DIV/0!</v>
      </c>
      <c r="AA24" s="187">
        <f>AVERAGE('Trading Report'!D$231:D$242)</f>
        <v>0</v>
      </c>
      <c r="AB24" s="187">
        <f>AVERAGE('Trading Report'!D$243:D$254)</f>
        <v>0</v>
      </c>
      <c r="AC24" s="187">
        <f>AVERAGE('Trading Report'!D$255:D$266)</f>
        <v>0</v>
      </c>
      <c r="AD24" s="187">
        <f>AVERAGE('Trading Report'!D$267:D$278)</f>
        <v>0</v>
      </c>
      <c r="AE24" s="187">
        <f>AVERAGE('Trading Report'!D$279:D$290)</f>
        <v>0</v>
      </c>
    </row>
    <row r="25" spans="1:31" ht="18.75" customHeight="1">
      <c r="G25" s="20" t="s">
        <v>66</v>
      </c>
      <c r="H25" s="187">
        <f>MIN('Trading Report'!D$3:D$14)</f>
        <v>0</v>
      </c>
      <c r="I25" s="187">
        <f>MIN('Trading Report'!D$15:D$26)</f>
        <v>0</v>
      </c>
      <c r="J25" s="187">
        <f>MIN('Trading Report'!D$27:D$38)</f>
        <v>0</v>
      </c>
      <c r="K25" s="187">
        <f>MIN('Trading Report'!D$39:D$50)</f>
        <v>0</v>
      </c>
      <c r="L25" s="187">
        <f>MIN('Trading Report'!D$51:D$62)</f>
        <v>0</v>
      </c>
      <c r="M25" s="187">
        <f>MIN('Trading Report'!D$63:D$74)</f>
        <v>0</v>
      </c>
      <c r="N25" s="187">
        <f>MIN('Trading Report'!D$75:D$86)</f>
        <v>0</v>
      </c>
      <c r="O25" s="187">
        <f>MIN('Trading Report'!D$87:D$98)</f>
        <v>0</v>
      </c>
      <c r="P25" s="187">
        <f>MIN('Trading Report'!D$99:D$110)</f>
        <v>0</v>
      </c>
      <c r="Q25" s="187">
        <f>MIN('Trading Report'!D$111:D$122)</f>
        <v>0</v>
      </c>
      <c r="R25" s="187">
        <f>MIN('Trading Report'!D$123:D$134)</f>
        <v>0</v>
      </c>
      <c r="S25" s="187">
        <f>MIN('Trading Report'!D$135:D$146)</f>
        <v>0</v>
      </c>
      <c r="T25" s="187">
        <f>MIN('Trading Report'!D$147:D$158)</f>
        <v>0</v>
      </c>
      <c r="U25" s="187">
        <f>MIN('Trading Report'!D$159:D$170)</f>
        <v>0</v>
      </c>
      <c r="V25" s="187">
        <f>MIN('Trading Report'!D$171:D$182)</f>
        <v>0</v>
      </c>
      <c r="W25" s="187">
        <f>MIN('Trading Report'!D$183:D$194)</f>
        <v>0</v>
      </c>
      <c r="X25" s="187">
        <f>MIN('Trading Report'!D$195:D$206)</f>
        <v>0</v>
      </c>
      <c r="Y25" s="187">
        <f>MIN('Trading Report'!D$207:D$218)</f>
        <v>0</v>
      </c>
      <c r="Z25" s="187">
        <f>MIN('Trading Report'!D$219:D$230)</f>
        <v>0</v>
      </c>
      <c r="AA25" s="187">
        <f>MIN('Trading Report'!D$231:D$242)</f>
        <v>0</v>
      </c>
      <c r="AB25" s="187">
        <f>MIN('Trading Report'!D$243:D$254)</f>
        <v>0</v>
      </c>
      <c r="AC25" s="187">
        <f>MIN('Trading Report'!D$255:D$266)</f>
        <v>0</v>
      </c>
      <c r="AD25" s="187">
        <f>MIN('Trading Report'!D$267:D$278)</f>
        <v>0</v>
      </c>
      <c r="AE25" s="187">
        <f>MIN('Trading Report'!D$279:D$290)</f>
        <v>0</v>
      </c>
    </row>
    <row r="26" spans="1:31" ht="18.75" customHeight="1">
      <c r="G26" s="20" t="s">
        <v>87</v>
      </c>
      <c r="H26" s="187">
        <f>SUM('Trading Report'!D$3:D$14)</f>
        <v>0</v>
      </c>
      <c r="I26" s="187">
        <f>SUM('Trading Report'!D$15:D$26)</f>
        <v>0</v>
      </c>
      <c r="J26" s="187">
        <f>SUM('Trading Report'!D$27:D$38)</f>
        <v>0</v>
      </c>
      <c r="K26" s="187">
        <f>SUM('Trading Report'!D$39:D$50)</f>
        <v>0</v>
      </c>
      <c r="L26" s="187">
        <f>SUM('Trading Report'!D$51:D$62)</f>
        <v>0</v>
      </c>
      <c r="M26" s="187">
        <f>SUM('Trading Report'!D$63:D$74)</f>
        <v>0</v>
      </c>
      <c r="N26" s="187">
        <f>SUM('Trading Report'!D$75:D$86)</f>
        <v>0</v>
      </c>
      <c r="O26" s="187">
        <f>SUM('Trading Report'!D$87:D$98)</f>
        <v>0</v>
      </c>
      <c r="P26" s="187">
        <f>SUM('Trading Report'!D$99:D$110)</f>
        <v>0</v>
      </c>
      <c r="Q26" s="187">
        <f>SUM('Trading Report'!D$111:D$122)</f>
        <v>0</v>
      </c>
      <c r="R26" s="187">
        <f>SUM('Trading Report'!D$123:D$134)</f>
        <v>0</v>
      </c>
      <c r="S26" s="187">
        <f>SUM('Trading Report'!D$135:D$146)</f>
        <v>0</v>
      </c>
      <c r="T26" s="187">
        <f>SUM('Trading Report'!D$147:D$158)</f>
        <v>0</v>
      </c>
      <c r="U26" s="187">
        <f>SUM('Trading Report'!D$159:D$170)</f>
        <v>0</v>
      </c>
      <c r="V26" s="187">
        <f>SUM('Trading Report'!D$171:D$182)</f>
        <v>0</v>
      </c>
      <c r="W26" s="187">
        <f>SUM('Trading Report'!D$183:D$194)</f>
        <v>0</v>
      </c>
      <c r="X26" s="187">
        <f>SUM('Trading Report'!D$195:D$206)</f>
        <v>0</v>
      </c>
      <c r="Y26" s="187">
        <f>SUM('Trading Report'!D$207:D$218)</f>
        <v>0</v>
      </c>
      <c r="Z26" s="187">
        <f>SUM('Trading Report'!D$219:D$230)</f>
        <v>0</v>
      </c>
      <c r="AA26" s="187">
        <f>SUM('Trading Report'!D$231:D$242)</f>
        <v>0</v>
      </c>
      <c r="AB26" s="187">
        <f>SUM('Trading Report'!D$243:D$254)</f>
        <v>0</v>
      </c>
      <c r="AC26" s="187">
        <f>SUM('Trading Report'!D$255:D$266)</f>
        <v>0</v>
      </c>
      <c r="AD26" s="187">
        <f>SUM('Trading Report'!D$267:D$278)</f>
        <v>0</v>
      </c>
      <c r="AE26" s="187">
        <f>SUM('Trading Report'!D$279:D$290)</f>
        <v>0</v>
      </c>
    </row>
    <row r="27" spans="1:31" ht="18.75" customHeight="1">
      <c r="G27" s="25"/>
    </row>
    <row r="28" spans="1:31" ht="18.75" customHeight="1"/>
    <row r="29" spans="1:31" ht="18.75" customHeight="1">
      <c r="A29" s="15"/>
      <c r="B29" s="15"/>
      <c r="C29" s="15"/>
      <c r="D29" s="15"/>
      <c r="E29" s="15"/>
      <c r="G29" s="199" t="s">
        <v>809</v>
      </c>
      <c r="H29" s="199" t="s">
        <v>40</v>
      </c>
      <c r="I29" s="199" t="s">
        <v>41</v>
      </c>
      <c r="J29" s="199" t="s">
        <v>42</v>
      </c>
      <c r="K29" s="199" t="s">
        <v>43</v>
      </c>
      <c r="L29" s="199" t="s">
        <v>44</v>
      </c>
      <c r="M29" s="199" t="s">
        <v>45</v>
      </c>
      <c r="N29" s="199" t="s">
        <v>46</v>
      </c>
      <c r="O29" s="199" t="s">
        <v>47</v>
      </c>
      <c r="P29" s="199" t="s">
        <v>48</v>
      </c>
      <c r="Q29" s="199" t="s">
        <v>49</v>
      </c>
      <c r="R29" s="199" t="s">
        <v>50</v>
      </c>
      <c r="S29" s="199" t="s">
        <v>51</v>
      </c>
      <c r="T29" s="199" t="s">
        <v>52</v>
      </c>
      <c r="U29" s="199" t="s">
        <v>53</v>
      </c>
      <c r="V29" s="199" t="s">
        <v>54</v>
      </c>
      <c r="W29" s="199" t="s">
        <v>55</v>
      </c>
      <c r="X29" s="199" t="s">
        <v>56</v>
      </c>
      <c r="Y29" s="199" t="s">
        <v>57</v>
      </c>
      <c r="Z29" s="199" t="s">
        <v>58</v>
      </c>
      <c r="AA29" s="199" t="s">
        <v>59</v>
      </c>
      <c r="AB29" s="199" t="s">
        <v>60</v>
      </c>
      <c r="AC29" s="199" t="s">
        <v>61</v>
      </c>
      <c r="AD29" s="199" t="s">
        <v>62</v>
      </c>
      <c r="AE29" s="199" t="s">
        <v>63</v>
      </c>
    </row>
    <row r="30" spans="1:31" ht="18.75" customHeight="1">
      <c r="G30" s="20" t="s">
        <v>64</v>
      </c>
      <c r="H30" s="187">
        <f>MAX('Trading Report'!H$3:H$14)</f>
        <v>0</v>
      </c>
      <c r="I30" s="187">
        <f>MAX('Trading Report'!H$15:H$26)</f>
        <v>0</v>
      </c>
      <c r="J30" s="187">
        <f>MAX('Trading Report'!H$27:H$38)</f>
        <v>0</v>
      </c>
      <c r="K30" s="187">
        <f>MAX('Trading Report'!H$39:H$50)</f>
        <v>0</v>
      </c>
      <c r="L30" s="187">
        <f>MAX('Trading Report'!H$51:H$62)</f>
        <v>0</v>
      </c>
      <c r="M30" s="187">
        <f>MAX('Trading Report'!H$63:H$74)</f>
        <v>0</v>
      </c>
      <c r="N30" s="187">
        <f>MAX('Trading Report'!H$75:H$86)</f>
        <v>0</v>
      </c>
      <c r="O30" s="187">
        <f>MAX('Trading Report'!H$87:H$98)</f>
        <v>0</v>
      </c>
      <c r="P30" s="187">
        <f>MAX('Trading Report'!H$99:H$110)</f>
        <v>0</v>
      </c>
      <c r="Q30" s="187">
        <f>MAX('Trading Report'!H$111:H$122)</f>
        <v>0</v>
      </c>
      <c r="R30" s="187">
        <f>MAX('Trading Report'!H$123:H$134)</f>
        <v>0</v>
      </c>
      <c r="S30" s="187">
        <f>MAX('Trading Report'!H$135:H$146)</f>
        <v>0</v>
      </c>
      <c r="T30" s="187">
        <f>MAX('Trading Report'!H$147:H$158)</f>
        <v>0</v>
      </c>
      <c r="U30" s="187">
        <f>MAX('Trading Report'!H$159:H$170)</f>
        <v>0</v>
      </c>
      <c r="V30" s="187">
        <f>MAX('Trading Report'!H$171:H$182)</f>
        <v>0</v>
      </c>
      <c r="W30" s="187">
        <f>MAX('Trading Report'!H$183:H$194)</f>
        <v>0</v>
      </c>
      <c r="X30" s="187">
        <f>MAX('Trading Report'!H$195:H$206)</f>
        <v>0</v>
      </c>
      <c r="Y30" s="187">
        <f>MAX('Trading Report'!H$207:H$218)</f>
        <v>0</v>
      </c>
      <c r="Z30" s="187">
        <f>MAX('Trading Report'!H$219:H$230)</f>
        <v>0</v>
      </c>
      <c r="AA30" s="187">
        <f>MAX('Trading Report'!H$231:H$242)</f>
        <v>0</v>
      </c>
      <c r="AB30" s="187">
        <f>MAX('Trading Report'!H$243:H$254)</f>
        <v>0</v>
      </c>
      <c r="AC30" s="187">
        <f>MAX('Trading Report'!H$255:H$266)</f>
        <v>0</v>
      </c>
      <c r="AD30" s="187">
        <f>MAX('Trading Report'!H$267:H$278)</f>
        <v>0</v>
      </c>
      <c r="AE30" s="187">
        <f>MAX('Trading Report'!H$279:H$290)</f>
        <v>0</v>
      </c>
    </row>
    <row r="31" spans="1:31" s="15" customFormat="1" ht="18.75" customHeight="1">
      <c r="A31"/>
      <c r="B31"/>
      <c r="C31"/>
      <c r="D31"/>
      <c r="E31"/>
      <c r="G31" s="20" t="s">
        <v>65</v>
      </c>
      <c r="H31" s="187">
        <f>AVERAGE('Trading Report'!H$3:H$14)</f>
        <v>0</v>
      </c>
      <c r="I31" s="187">
        <f>AVERAGE('Trading Report'!H$15:H$26)</f>
        <v>0</v>
      </c>
      <c r="J31" s="187">
        <f>AVERAGE('Trading Report'!H$27:H$38)</f>
        <v>0</v>
      </c>
      <c r="K31" s="187">
        <f>AVERAGE('Trading Report'!H$39:H$50)</f>
        <v>0</v>
      </c>
      <c r="L31" s="187">
        <f>AVERAGE('Trading Report'!H$51:H$62)</f>
        <v>0</v>
      </c>
      <c r="M31" s="187">
        <f>AVERAGE('Trading Report'!H$63:H$74)</f>
        <v>0</v>
      </c>
      <c r="N31" s="187">
        <f>AVERAGE('Trading Report'!H$75:H$86)</f>
        <v>0</v>
      </c>
      <c r="O31" s="187">
        <f>AVERAGE('Trading Report'!H$87:H$98)</f>
        <v>0</v>
      </c>
      <c r="P31" s="187">
        <f>AVERAGE('Trading Report'!H$99:H$110)</f>
        <v>0</v>
      </c>
      <c r="Q31" s="187">
        <f>AVERAGE('Trading Report'!H$111:H$122)</f>
        <v>0</v>
      </c>
      <c r="R31" s="187">
        <f>AVERAGE('Trading Report'!H$123:H$134)</f>
        <v>0</v>
      </c>
      <c r="S31" s="187">
        <f>AVERAGE('Trading Report'!H$135:H$146)</f>
        <v>0</v>
      </c>
      <c r="T31" s="187">
        <f>AVERAGE('Trading Report'!H$147:H$158)</f>
        <v>0</v>
      </c>
      <c r="U31" s="187">
        <f>AVERAGE('Trading Report'!H$159:H$170)</f>
        <v>0</v>
      </c>
      <c r="V31" s="187">
        <f>AVERAGE('Trading Report'!H$171:H$182)</f>
        <v>0</v>
      </c>
      <c r="W31" s="187">
        <f>AVERAGE('Trading Report'!H$183:H$194)</f>
        <v>0</v>
      </c>
      <c r="X31" s="187">
        <f>AVERAGE('Trading Report'!H$195:H$206)</f>
        <v>0</v>
      </c>
      <c r="Y31" s="187">
        <f>AVERAGE('Trading Report'!H$207:H$218)</f>
        <v>0</v>
      </c>
      <c r="Z31" s="187">
        <f>AVERAGE('Trading Report'!H$219:H$230)</f>
        <v>0</v>
      </c>
      <c r="AA31" s="187">
        <f>AVERAGE('Trading Report'!H$231:H$242)</f>
        <v>0</v>
      </c>
      <c r="AB31" s="187">
        <f>AVERAGE('Trading Report'!H$243:H$254)</f>
        <v>0</v>
      </c>
      <c r="AC31" s="187">
        <f>AVERAGE('Trading Report'!H$255:H$266)</f>
        <v>0</v>
      </c>
      <c r="AD31" s="187">
        <f>AVERAGE('Trading Report'!H$267:H$278)</f>
        <v>0</v>
      </c>
      <c r="AE31" s="187">
        <f>AVERAGE('Trading Report'!H$279:H$290)</f>
        <v>0</v>
      </c>
    </row>
    <row r="32" spans="1:31" ht="18.75" customHeight="1">
      <c r="G32" s="20" t="s">
        <v>66</v>
      </c>
      <c r="H32" s="187">
        <f>MIN('Trading Report'!H$3:H$14)</f>
        <v>0</v>
      </c>
      <c r="I32" s="187">
        <f>MIN('Trading Report'!H$15:H$26)</f>
        <v>0</v>
      </c>
      <c r="J32" s="187">
        <f>MIN('Trading Report'!H$27:H$38)</f>
        <v>0</v>
      </c>
      <c r="K32" s="187">
        <f>MIN('Trading Report'!H$39:H$50)</f>
        <v>0</v>
      </c>
      <c r="L32" s="187">
        <f>MIN('Trading Report'!H$51:H$62)</f>
        <v>0</v>
      </c>
      <c r="M32" s="187">
        <f>MIN('Trading Report'!H$63:H$74)</f>
        <v>0</v>
      </c>
      <c r="N32" s="187">
        <f>MIN('Trading Report'!H$75:H$86)</f>
        <v>0</v>
      </c>
      <c r="O32" s="187">
        <f>MIN('Trading Report'!H$87:H$98)</f>
        <v>0</v>
      </c>
      <c r="P32" s="187">
        <f>MIN('Trading Report'!H$99:H$110)</f>
        <v>0</v>
      </c>
      <c r="Q32" s="187">
        <f>MIN('Trading Report'!H$111:H$122)</f>
        <v>0</v>
      </c>
      <c r="R32" s="187">
        <f>MIN('Trading Report'!H$123:H$134)</f>
        <v>0</v>
      </c>
      <c r="S32" s="187">
        <f>MIN('Trading Report'!H$135:H$146)</f>
        <v>0</v>
      </c>
      <c r="T32" s="187">
        <f>MIN('Trading Report'!H$147:H$158)</f>
        <v>0</v>
      </c>
      <c r="U32" s="187">
        <f>MIN('Trading Report'!H$159:H$170)</f>
        <v>0</v>
      </c>
      <c r="V32" s="187">
        <f>MIN('Trading Report'!H$171:H$182)</f>
        <v>0</v>
      </c>
      <c r="W32" s="187">
        <f>MIN('Trading Report'!H$183:H$194)</f>
        <v>0</v>
      </c>
      <c r="X32" s="187">
        <f>MIN('Trading Report'!H$195:H$206)</f>
        <v>0</v>
      </c>
      <c r="Y32" s="187">
        <f>MIN('Trading Report'!H$207:H$218)</f>
        <v>0</v>
      </c>
      <c r="Z32" s="187">
        <f>MIN('Trading Report'!H$219:H$230)</f>
        <v>0</v>
      </c>
      <c r="AA32" s="187">
        <f>MIN('Trading Report'!H$231:H$242)</f>
        <v>0</v>
      </c>
      <c r="AB32" s="187">
        <f>MIN('Trading Report'!H$243:H$254)</f>
        <v>0</v>
      </c>
      <c r="AC32" s="187">
        <f>MIN('Trading Report'!H$255:H$266)</f>
        <v>0</v>
      </c>
      <c r="AD32" s="187">
        <f>MIN('Trading Report'!H$267:H$278)</f>
        <v>0</v>
      </c>
      <c r="AE32" s="187">
        <f>MIN('Trading Report'!H$279:H$290)</f>
        <v>0</v>
      </c>
    </row>
    <row r="33" spans="1:31" ht="18.75" customHeight="1">
      <c r="G33" s="20" t="s">
        <v>87</v>
      </c>
      <c r="H33" s="187">
        <f>SUM('Trading Report'!H$3:H$14)</f>
        <v>0</v>
      </c>
      <c r="I33" s="187">
        <f>SUM('Trading Report'!H$15:H$26)</f>
        <v>0</v>
      </c>
      <c r="J33" s="187">
        <f>SUM('Trading Report'!H$27:H$38)</f>
        <v>0</v>
      </c>
      <c r="K33" s="187">
        <f>SUM('Trading Report'!H$39:H$50)</f>
        <v>0</v>
      </c>
      <c r="L33" s="187">
        <f>SUM('Trading Report'!H$51:H$62)</f>
        <v>0</v>
      </c>
      <c r="M33" s="187">
        <f>SUM('Trading Report'!H$63:H$74)</f>
        <v>0</v>
      </c>
      <c r="N33" s="187">
        <f>SUM('Trading Report'!H$75:H$86)</f>
        <v>0</v>
      </c>
      <c r="O33" s="187">
        <f>SUM('Trading Report'!H$87:H$98)</f>
        <v>0</v>
      </c>
      <c r="P33" s="187">
        <f>SUM('Trading Report'!H$99:H$110)</f>
        <v>0</v>
      </c>
      <c r="Q33" s="187">
        <f>SUM('Trading Report'!H$111:H$122)</f>
        <v>0</v>
      </c>
      <c r="R33" s="187">
        <f>SUM('Trading Report'!H$123:H$134)</f>
        <v>0</v>
      </c>
      <c r="S33" s="187">
        <f>SUM('Trading Report'!H$135:H$146)</f>
        <v>0</v>
      </c>
      <c r="T33" s="187">
        <f>SUM('Trading Report'!H$147:H$158)</f>
        <v>0</v>
      </c>
      <c r="U33" s="187">
        <f>SUM('Trading Report'!H$159:H$170)</f>
        <v>0</v>
      </c>
      <c r="V33" s="187">
        <f>SUM('Trading Report'!H$171:H$182)</f>
        <v>0</v>
      </c>
      <c r="W33" s="187">
        <f>SUM('Trading Report'!H$183:H$194)</f>
        <v>0</v>
      </c>
      <c r="X33" s="187">
        <f>SUM('Trading Report'!H$195:H$206)</f>
        <v>0</v>
      </c>
      <c r="Y33" s="187">
        <f>SUM('Trading Report'!H$207:H$218)</f>
        <v>0</v>
      </c>
      <c r="Z33" s="187">
        <f>SUM('Trading Report'!H$219:H$230)</f>
        <v>0</v>
      </c>
      <c r="AA33" s="187">
        <f>SUM('Trading Report'!H$231:H$242)</f>
        <v>0</v>
      </c>
      <c r="AB33" s="187">
        <f>SUM('Trading Report'!H$243:H$254)</f>
        <v>0</v>
      </c>
      <c r="AC33" s="187">
        <f>SUM('Trading Report'!H$255:H$266)</f>
        <v>0</v>
      </c>
      <c r="AD33" s="187">
        <f>SUM('Trading Report'!H$267:H$278)</f>
        <v>0</v>
      </c>
      <c r="AE33" s="187">
        <f>SUM('Trading Report'!H$279:H$290)</f>
        <v>0</v>
      </c>
    </row>
    <row r="34" spans="1:31" ht="18.75" customHeight="1">
      <c r="G34" s="25"/>
    </row>
    <row r="35" spans="1:31" ht="18.75" customHeight="1"/>
    <row r="36" spans="1:31" ht="18.75" customHeight="1">
      <c r="A36" s="15"/>
      <c r="B36" s="15"/>
      <c r="C36" s="15"/>
      <c r="D36" s="15"/>
      <c r="E36" s="15"/>
      <c r="G36" s="86" t="s">
        <v>811</v>
      </c>
      <c r="H36" s="86" t="s">
        <v>40</v>
      </c>
      <c r="I36" s="86" t="s">
        <v>41</v>
      </c>
      <c r="J36" s="86" t="s">
        <v>42</v>
      </c>
      <c r="K36" s="86" t="s">
        <v>43</v>
      </c>
      <c r="L36" s="86" t="s">
        <v>44</v>
      </c>
      <c r="M36" s="86" t="s">
        <v>45</v>
      </c>
      <c r="N36" s="86" t="s">
        <v>46</v>
      </c>
      <c r="O36" s="86" t="s">
        <v>47</v>
      </c>
      <c r="P36" s="86" t="s">
        <v>48</v>
      </c>
      <c r="Q36" s="86" t="s">
        <v>49</v>
      </c>
      <c r="R36" s="86" t="s">
        <v>50</v>
      </c>
      <c r="S36" s="86" t="s">
        <v>51</v>
      </c>
      <c r="T36" s="86" t="s">
        <v>52</v>
      </c>
      <c r="U36" s="86" t="s">
        <v>53</v>
      </c>
      <c r="V36" s="86" t="s">
        <v>54</v>
      </c>
      <c r="W36" s="86" t="s">
        <v>55</v>
      </c>
      <c r="X36" s="86" t="s">
        <v>56</v>
      </c>
      <c r="Y36" s="86" t="s">
        <v>57</v>
      </c>
      <c r="Z36" s="86" t="s">
        <v>58</v>
      </c>
      <c r="AA36" s="86" t="s">
        <v>59</v>
      </c>
      <c r="AB36" s="86" t="s">
        <v>60</v>
      </c>
      <c r="AC36" s="86" t="s">
        <v>61</v>
      </c>
      <c r="AD36" s="86" t="s">
        <v>62</v>
      </c>
      <c r="AE36" s="86" t="s">
        <v>63</v>
      </c>
    </row>
    <row r="37" spans="1:31" s="15" customFormat="1" ht="18.75" customHeight="1">
      <c r="A37"/>
      <c r="B37"/>
      <c r="C37"/>
      <c r="D37"/>
      <c r="E37"/>
      <c r="G37" s="20" t="s">
        <v>64</v>
      </c>
      <c r="H37" s="187">
        <f>MAX('Trading Report'!E$3:E$14)</f>
        <v>0</v>
      </c>
      <c r="I37" s="187">
        <f>MAX('Trading Report'!E$15:E$26)</f>
        <v>0</v>
      </c>
      <c r="J37" s="187">
        <f>MAX('Trading Report'!E$27:E$38)</f>
        <v>0</v>
      </c>
      <c r="K37" s="187">
        <f>MAX('Trading Report'!E$39:E$50)</f>
        <v>0</v>
      </c>
      <c r="L37" s="187">
        <f>MAX('Trading Report'!E$51:E$62)</f>
        <v>0</v>
      </c>
      <c r="M37" s="187">
        <f>MAX('Trading Report'!E$63:E$74)</f>
        <v>0</v>
      </c>
      <c r="N37" s="187">
        <f>MAX('Trading Report'!E$75:E$86)</f>
        <v>0</v>
      </c>
      <c r="O37" s="187">
        <f>MAX('Trading Report'!E$87:E$98)</f>
        <v>0</v>
      </c>
      <c r="P37" s="187">
        <f>MAX('Trading Report'!E$99:E$110)</f>
        <v>0</v>
      </c>
      <c r="Q37" s="187">
        <f>MAX('Trading Report'!E$111:E$122)</f>
        <v>0</v>
      </c>
      <c r="R37" s="187">
        <f>MAX('Trading Report'!E$123:E$134)</f>
        <v>0</v>
      </c>
      <c r="S37" s="187">
        <f>MAX('Trading Report'!E$135:E$146)</f>
        <v>0</v>
      </c>
      <c r="T37" s="187">
        <f>MAX('Trading Report'!E$147:E$158)</f>
        <v>0</v>
      </c>
      <c r="U37" s="187">
        <f>MAX('Trading Report'!E$159:E$170)</f>
        <v>0</v>
      </c>
      <c r="V37" s="187">
        <f>MAX('Trading Report'!E$171:E$182)</f>
        <v>0</v>
      </c>
      <c r="W37" s="187">
        <f>MAX('Trading Report'!E$183:E$194)</f>
        <v>0</v>
      </c>
      <c r="X37" s="187">
        <f>MAX('Trading Report'!E$195:E$206)</f>
        <v>0</v>
      </c>
      <c r="Y37" s="187">
        <f>MAX('Trading Report'!E$207:E$218)</f>
        <v>0</v>
      </c>
      <c r="Z37" s="187">
        <f>MAX('Trading Report'!E$219:E$230)</f>
        <v>0</v>
      </c>
      <c r="AA37" s="187">
        <f>MAX('Trading Report'!E$231:E$242)</f>
        <v>0</v>
      </c>
      <c r="AB37" s="187">
        <f>MAX('Trading Report'!E$243:E$254)</f>
        <v>0</v>
      </c>
      <c r="AC37" s="187">
        <f>MAX('Trading Report'!E$255:E$266)</f>
        <v>0</v>
      </c>
      <c r="AD37" s="187">
        <f>MAX('Trading Report'!E$267:E$278)</f>
        <v>0</v>
      </c>
      <c r="AE37" s="187">
        <f>MAX('Trading Report'!E$279:E$290)</f>
        <v>0</v>
      </c>
    </row>
    <row r="38" spans="1:31" ht="18.75" customHeight="1">
      <c r="G38" s="20" t="s">
        <v>65</v>
      </c>
      <c r="H38" s="187">
        <f>AVERAGE('Trading Report'!E$3:E$14)</f>
        <v>0</v>
      </c>
      <c r="I38" s="187">
        <f>AVERAGE('Trading Report'!E$15:E$26)</f>
        <v>0</v>
      </c>
      <c r="J38" s="187">
        <f>AVERAGE('Trading Report'!E$27:E$38)</f>
        <v>0</v>
      </c>
      <c r="K38" s="187">
        <f>AVERAGE('Trading Report'!E$39:E$50)</f>
        <v>0</v>
      </c>
      <c r="L38" s="187">
        <f>AVERAGE('Trading Report'!E$51:E$62)</f>
        <v>0</v>
      </c>
      <c r="M38" s="187" t="e">
        <f>AVERAGE('Trading Report'!E$63:E$74)</f>
        <v>#DIV/0!</v>
      </c>
      <c r="N38" s="187" t="e">
        <f>AVERAGE('Trading Report'!E$75:E$86)</f>
        <v>#DIV/0!</v>
      </c>
      <c r="O38" s="187" t="e">
        <f>AVERAGE('Trading Report'!E$87:E$98)</f>
        <v>#DIV/0!</v>
      </c>
      <c r="P38" s="187" t="e">
        <f>AVERAGE('Trading Report'!E$99:E$110)</f>
        <v>#DIV/0!</v>
      </c>
      <c r="Q38" s="187" t="e">
        <f>AVERAGE('Trading Report'!E$111:E$122)</f>
        <v>#DIV/0!</v>
      </c>
      <c r="R38" s="187" t="e">
        <f>AVERAGE('Trading Report'!E$123:E$134)</f>
        <v>#DIV/0!</v>
      </c>
      <c r="S38" s="187" t="e">
        <f>AVERAGE('Trading Report'!E$135:E$146)</f>
        <v>#DIV/0!</v>
      </c>
      <c r="T38" s="187" t="e">
        <f>AVERAGE('Trading Report'!E$147:E$158)</f>
        <v>#DIV/0!</v>
      </c>
      <c r="U38" s="187" t="e">
        <f>AVERAGE('Trading Report'!E$159:E$170)</f>
        <v>#DIV/0!</v>
      </c>
      <c r="V38" s="187" t="e">
        <f>AVERAGE('Trading Report'!E$171:E$182)</f>
        <v>#DIV/0!</v>
      </c>
      <c r="W38" s="187" t="e">
        <f>AVERAGE('Trading Report'!E$183:E$194)</f>
        <v>#DIV/0!</v>
      </c>
      <c r="X38" s="187" t="e">
        <f>AVERAGE('Trading Report'!E$195:E$206)</f>
        <v>#DIV/0!</v>
      </c>
      <c r="Y38" s="187" t="e">
        <f>AVERAGE('Trading Report'!E$207:E$218)</f>
        <v>#DIV/0!</v>
      </c>
      <c r="Z38" s="187">
        <f>AVERAGE('Trading Report'!E$219:E$230)</f>
        <v>0</v>
      </c>
      <c r="AA38" s="187">
        <f>AVERAGE('Trading Report'!E$231:E$242)</f>
        <v>0</v>
      </c>
      <c r="AB38" s="187">
        <f>AVERAGE('Trading Report'!E$243:E$254)</f>
        <v>0</v>
      </c>
      <c r="AC38" s="187">
        <f>AVERAGE('Trading Report'!E$255:E$266)</f>
        <v>0</v>
      </c>
      <c r="AD38" s="187">
        <f>AVERAGE('Trading Report'!E$267:E$278)</f>
        <v>0</v>
      </c>
      <c r="AE38" s="187">
        <f>AVERAGE('Trading Report'!E$279:E$290)</f>
        <v>0</v>
      </c>
    </row>
    <row r="39" spans="1:31" ht="18.75" customHeight="1">
      <c r="G39" s="20" t="s">
        <v>66</v>
      </c>
      <c r="H39" s="187">
        <f>MIN('Trading Report'!E$3:E$14)</f>
        <v>0</v>
      </c>
      <c r="I39" s="187">
        <f>MIN('Trading Report'!E$15:E$26)</f>
        <v>0</v>
      </c>
      <c r="J39" s="187">
        <f>MIN('Trading Report'!E$27:E$38)</f>
        <v>0</v>
      </c>
      <c r="K39" s="187">
        <f>MIN('Trading Report'!E$39:E$50)</f>
        <v>0</v>
      </c>
      <c r="L39" s="187">
        <f>MIN('Trading Report'!E$51:E$62)</f>
        <v>0</v>
      </c>
      <c r="M39" s="187">
        <f>MIN('Trading Report'!E$63:E$74)</f>
        <v>0</v>
      </c>
      <c r="N39" s="187">
        <f>MIN('Trading Report'!E$75:E$86)</f>
        <v>0</v>
      </c>
      <c r="O39" s="187">
        <f>MIN('Trading Report'!E$87:E$98)</f>
        <v>0</v>
      </c>
      <c r="P39" s="187">
        <f>MIN('Trading Report'!E$99:E$110)</f>
        <v>0</v>
      </c>
      <c r="Q39" s="187">
        <f>MIN('Trading Report'!E$111:E$122)</f>
        <v>0</v>
      </c>
      <c r="R39" s="187">
        <f>MIN('Trading Report'!E$123:E$134)</f>
        <v>0</v>
      </c>
      <c r="S39" s="187">
        <f>MIN('Trading Report'!E$135:E$146)</f>
        <v>0</v>
      </c>
      <c r="T39" s="187">
        <f>MIN('Trading Report'!E$147:E$158)</f>
        <v>0</v>
      </c>
      <c r="U39" s="187">
        <f>MIN('Trading Report'!E$159:E$170)</f>
        <v>0</v>
      </c>
      <c r="V39" s="187">
        <f>MIN('Trading Report'!E$171:E$182)</f>
        <v>0</v>
      </c>
      <c r="W39" s="187">
        <f>MIN('Trading Report'!E$183:E$194)</f>
        <v>0</v>
      </c>
      <c r="X39" s="187">
        <f>MIN('Trading Report'!E$195:E$206)</f>
        <v>0</v>
      </c>
      <c r="Y39" s="187">
        <f>MIN('Trading Report'!E$207:E$218)</f>
        <v>0</v>
      </c>
      <c r="Z39" s="187">
        <f>MIN('Trading Report'!E$219:E$230)</f>
        <v>0</v>
      </c>
      <c r="AA39" s="187">
        <f>MIN('Trading Report'!E$231:E$242)</f>
        <v>0</v>
      </c>
      <c r="AB39" s="187">
        <f>MIN('Trading Report'!E$243:E$254)</f>
        <v>0</v>
      </c>
      <c r="AC39" s="187">
        <f>MIN('Trading Report'!E$255:E$266)</f>
        <v>0</v>
      </c>
      <c r="AD39" s="187">
        <f>MIN('Trading Report'!E$267:E$278)</f>
        <v>0</v>
      </c>
      <c r="AE39" s="187">
        <f>MIN('Trading Report'!E$279:E$290)</f>
        <v>0</v>
      </c>
    </row>
    <row r="40" spans="1:31" ht="18.75" customHeight="1">
      <c r="G40" s="20" t="s">
        <v>87</v>
      </c>
      <c r="H40" s="187">
        <f>SUM('Trading Report'!E$3:E$14)</f>
        <v>0</v>
      </c>
      <c r="I40" s="187">
        <f>SUM('Trading Report'!E$15:E$26)</f>
        <v>0</v>
      </c>
      <c r="J40" s="187">
        <f>SUM('Trading Report'!E$27:E$38)</f>
        <v>0</v>
      </c>
      <c r="K40" s="187">
        <f>SUM('Trading Report'!E$39:E$50)</f>
        <v>0</v>
      </c>
      <c r="L40" s="187">
        <f>SUM('Trading Report'!E$51:E$62)</f>
        <v>0</v>
      </c>
      <c r="M40" s="187">
        <f>SUM('Trading Report'!E$63:E$74)</f>
        <v>0</v>
      </c>
      <c r="N40" s="187">
        <f>SUM('Trading Report'!E$75:E$86)</f>
        <v>0</v>
      </c>
      <c r="O40" s="187">
        <f>SUM('Trading Report'!E$87:E$98)</f>
        <v>0</v>
      </c>
      <c r="P40" s="187">
        <f>SUM('Trading Report'!E$99:E$110)</f>
        <v>0</v>
      </c>
      <c r="Q40" s="187">
        <f>SUM('Trading Report'!E$111:E$122)</f>
        <v>0</v>
      </c>
      <c r="R40" s="187">
        <f>SUM('Trading Report'!E$123:E$134)</f>
        <v>0</v>
      </c>
      <c r="S40" s="187">
        <f>SUM('Trading Report'!E$135:E$146)</f>
        <v>0</v>
      </c>
      <c r="T40" s="187">
        <f>SUM('Trading Report'!E$147:E$158)</f>
        <v>0</v>
      </c>
      <c r="U40" s="187">
        <f>SUM('Trading Report'!E$159:E$170)</f>
        <v>0</v>
      </c>
      <c r="V40" s="187">
        <f>SUM('Trading Report'!E$171:E$182)</f>
        <v>0</v>
      </c>
      <c r="W40" s="187">
        <f>SUM('Trading Report'!E$183:E$194)</f>
        <v>0</v>
      </c>
      <c r="X40" s="187">
        <f>SUM('Trading Report'!E$195:E$206)</f>
        <v>0</v>
      </c>
      <c r="Y40" s="187">
        <f>SUM('Trading Report'!E$207:E$218)</f>
        <v>0</v>
      </c>
      <c r="Z40" s="187">
        <f>SUM('Trading Report'!E$219:E$230)</f>
        <v>0</v>
      </c>
      <c r="AA40" s="187">
        <f>SUM('Trading Report'!E$231:E$242)</f>
        <v>0</v>
      </c>
      <c r="AB40" s="187">
        <f>SUM('Trading Report'!E$243:E$254)</f>
        <v>0</v>
      </c>
      <c r="AC40" s="187">
        <f>SUM('Trading Report'!E$255:E$266)</f>
        <v>0</v>
      </c>
      <c r="AD40" s="187">
        <f>SUM('Trading Report'!E$267:E$278)</f>
        <v>0</v>
      </c>
      <c r="AE40" s="187">
        <f>SUM('Trading Report'!E$279:E$290)</f>
        <v>0</v>
      </c>
    </row>
    <row r="41" spans="1:31" ht="18.75" customHeight="1">
      <c r="G41" s="25"/>
    </row>
    <row r="42" spans="1:31" ht="18.75" customHeight="1">
      <c r="A42" s="15"/>
      <c r="B42" s="15"/>
      <c r="C42" s="15"/>
      <c r="D42" s="15"/>
      <c r="E42" s="15"/>
      <c r="G42" s="25"/>
    </row>
    <row r="43" spans="1:31" s="15" customFormat="1" ht="18.75" customHeight="1">
      <c r="A43"/>
      <c r="B43"/>
      <c r="C43"/>
      <c r="D43"/>
      <c r="E43"/>
      <c r="G43" s="200" t="s">
        <v>812</v>
      </c>
      <c r="H43" s="200" t="s">
        <v>40</v>
      </c>
      <c r="I43" s="200" t="s">
        <v>41</v>
      </c>
      <c r="J43" s="200" t="s">
        <v>42</v>
      </c>
      <c r="K43" s="200" t="s">
        <v>43</v>
      </c>
      <c r="L43" s="200" t="s">
        <v>44</v>
      </c>
      <c r="M43" s="200" t="s">
        <v>45</v>
      </c>
      <c r="N43" s="200" t="s">
        <v>46</v>
      </c>
      <c r="O43" s="200" t="s">
        <v>47</v>
      </c>
      <c r="P43" s="200" t="s">
        <v>48</v>
      </c>
      <c r="Q43" s="200" t="s">
        <v>49</v>
      </c>
      <c r="R43" s="200" t="s">
        <v>50</v>
      </c>
      <c r="S43" s="200" t="s">
        <v>51</v>
      </c>
      <c r="T43" s="200" t="s">
        <v>52</v>
      </c>
      <c r="U43" s="200" t="s">
        <v>53</v>
      </c>
      <c r="V43" s="200" t="s">
        <v>54</v>
      </c>
      <c r="W43" s="200" t="s">
        <v>55</v>
      </c>
      <c r="X43" s="200" t="s">
        <v>56</v>
      </c>
      <c r="Y43" s="200" t="s">
        <v>57</v>
      </c>
      <c r="Z43" s="200" t="s">
        <v>58</v>
      </c>
      <c r="AA43" s="200" t="s">
        <v>59</v>
      </c>
      <c r="AB43" s="200" t="s">
        <v>60</v>
      </c>
      <c r="AC43" s="200" t="s">
        <v>61</v>
      </c>
      <c r="AD43" s="200" t="s">
        <v>62</v>
      </c>
      <c r="AE43" s="200" t="s">
        <v>63</v>
      </c>
    </row>
    <row r="44" spans="1:31" ht="18.75" customHeight="1">
      <c r="G44" s="20" t="s">
        <v>64</v>
      </c>
      <c r="H44" s="187">
        <f>MAX('Trading Report'!I$3:I$14)</f>
        <v>0</v>
      </c>
      <c r="I44" s="187">
        <f>MAX('Trading Report'!I$15:I$26)</f>
        <v>0</v>
      </c>
      <c r="J44" s="187">
        <f>MAX('Trading Report'!I$27:I$38)</f>
        <v>0</v>
      </c>
      <c r="K44" s="187">
        <f>MAX('Trading Report'!I$39:I$50)</f>
        <v>0</v>
      </c>
      <c r="L44" s="187">
        <f>MAX('Trading Report'!I$51:I$62)</f>
        <v>0</v>
      </c>
      <c r="M44" s="187">
        <f>MAX('Trading Report'!I$63:I$74)</f>
        <v>0</v>
      </c>
      <c r="N44" s="187">
        <f>MAX('Trading Report'!I$75:I$86)</f>
        <v>0</v>
      </c>
      <c r="O44" s="187">
        <f>MAX('Trading Report'!I$87:I$98)</f>
        <v>0</v>
      </c>
      <c r="P44" s="187">
        <f>MAX('Trading Report'!I$99:I$110)</f>
        <v>0</v>
      </c>
      <c r="Q44" s="187">
        <f>MAX('Trading Report'!I$111:I$122)</f>
        <v>0</v>
      </c>
      <c r="R44" s="187">
        <f>MAX('Trading Report'!I$123:I$134)</f>
        <v>0</v>
      </c>
      <c r="S44" s="187">
        <f>MAX('Trading Report'!I$135:I$146)</f>
        <v>0</v>
      </c>
      <c r="T44" s="187">
        <f>MAX('Trading Report'!I$147:I$158)</f>
        <v>0</v>
      </c>
      <c r="U44" s="187">
        <f>MAX('Trading Report'!I$159:I$170)</f>
        <v>0</v>
      </c>
      <c r="V44" s="187">
        <f>MAX('Trading Report'!I$171:I$182)</f>
        <v>0</v>
      </c>
      <c r="W44" s="187">
        <f>MAX('Trading Report'!I$183:I$194)</f>
        <v>0</v>
      </c>
      <c r="X44" s="187">
        <f>MAX('Trading Report'!I$195:I$206)</f>
        <v>0</v>
      </c>
      <c r="Y44" s="187">
        <f>MAX('Trading Report'!I$207:I$218)</f>
        <v>0</v>
      </c>
      <c r="Z44" s="187">
        <f>MAX('Trading Report'!I$219:I$230)</f>
        <v>0</v>
      </c>
      <c r="AA44" s="187">
        <f>MAX('Trading Report'!I$231:I$242)</f>
        <v>0</v>
      </c>
      <c r="AB44" s="187">
        <f>MAX('Trading Report'!I$243:I$254)</f>
        <v>0</v>
      </c>
      <c r="AC44" s="187">
        <f>MAX('Trading Report'!I$255:I$266)</f>
        <v>0</v>
      </c>
      <c r="AD44" s="187">
        <f>MAX('Trading Report'!I$267:I$278)</f>
        <v>0</v>
      </c>
      <c r="AE44" s="187">
        <f>MAX('Trading Report'!I$279:I$290)</f>
        <v>0</v>
      </c>
    </row>
    <row r="45" spans="1:31" ht="18.75" customHeight="1">
      <c r="G45" s="20" t="s">
        <v>65</v>
      </c>
      <c r="H45" s="187">
        <f>AVERAGE('Trading Report'!I$3:I$14)</f>
        <v>0</v>
      </c>
      <c r="I45" s="187">
        <f>AVERAGE('Trading Report'!I$15:I$26)</f>
        <v>0</v>
      </c>
      <c r="J45" s="187">
        <f>AVERAGE('Trading Report'!I$27:I$38)</f>
        <v>0</v>
      </c>
      <c r="K45" s="187">
        <f>AVERAGE('Trading Report'!I$39:I$50)</f>
        <v>0</v>
      </c>
      <c r="L45" s="187">
        <f>AVERAGE('Trading Report'!I$51:I$62)</f>
        <v>0</v>
      </c>
      <c r="M45" s="187">
        <f>AVERAGE('Trading Report'!I$63:I$74)</f>
        <v>0</v>
      </c>
      <c r="N45" s="187">
        <f>AVERAGE('Trading Report'!I$75:I$86)</f>
        <v>0</v>
      </c>
      <c r="O45" s="187">
        <f>AVERAGE('Trading Report'!I$87:I$98)</f>
        <v>0</v>
      </c>
      <c r="P45" s="187">
        <f>AVERAGE('Trading Report'!I$99:I$110)</f>
        <v>0</v>
      </c>
      <c r="Q45" s="187">
        <f>AVERAGE('Trading Report'!I$111:I$122)</f>
        <v>0</v>
      </c>
      <c r="R45" s="187">
        <f>AVERAGE('Trading Report'!I$123:I$134)</f>
        <v>0</v>
      </c>
      <c r="S45" s="187">
        <f>AVERAGE('Trading Report'!I$135:I$146)</f>
        <v>0</v>
      </c>
      <c r="T45" s="187">
        <f>AVERAGE('Trading Report'!I$147:I$158)</f>
        <v>0</v>
      </c>
      <c r="U45" s="187">
        <f>AVERAGE('Trading Report'!I$159:I$170)</f>
        <v>0</v>
      </c>
      <c r="V45" s="187">
        <f>AVERAGE('Trading Report'!I$171:I$182)</f>
        <v>0</v>
      </c>
      <c r="W45" s="187">
        <f>AVERAGE('Trading Report'!I$183:I$194)</f>
        <v>0</v>
      </c>
      <c r="X45" s="187">
        <f>AVERAGE('Trading Report'!I$195:I$206)</f>
        <v>0</v>
      </c>
      <c r="Y45" s="187">
        <f>AVERAGE('Trading Report'!I$207:I$218)</f>
        <v>0</v>
      </c>
      <c r="Z45" s="187">
        <f>AVERAGE('Trading Report'!I$219:I$230)</f>
        <v>0</v>
      </c>
      <c r="AA45" s="187">
        <f>AVERAGE('Trading Report'!I$231:I$242)</f>
        <v>0</v>
      </c>
      <c r="AB45" s="187">
        <f>AVERAGE('Trading Report'!I$243:I$254)</f>
        <v>0</v>
      </c>
      <c r="AC45" s="187">
        <f>AVERAGE('Trading Report'!I$255:I$266)</f>
        <v>0</v>
      </c>
      <c r="AD45" s="187">
        <f>AVERAGE('Trading Report'!I$267:I$278)</f>
        <v>0</v>
      </c>
      <c r="AE45" s="187">
        <f>AVERAGE('Trading Report'!I$279:I$290)</f>
        <v>0</v>
      </c>
    </row>
    <row r="46" spans="1:31" ht="18.75" customHeight="1">
      <c r="G46" s="20" t="s">
        <v>66</v>
      </c>
      <c r="H46" s="187">
        <f>MIN('Trading Report'!I$3:I$14)</f>
        <v>0</v>
      </c>
      <c r="I46" s="187">
        <f>MIN('Trading Report'!I$15:I$26)</f>
        <v>0</v>
      </c>
      <c r="J46" s="187">
        <f>MIN('Trading Report'!I$27:I$38)</f>
        <v>0</v>
      </c>
      <c r="K46" s="187">
        <f>MIN('Trading Report'!I$39:I$50)</f>
        <v>0</v>
      </c>
      <c r="L46" s="187">
        <f>MIN('Trading Report'!I$51:I$62)</f>
        <v>0</v>
      </c>
      <c r="M46" s="187">
        <f>MIN('Trading Report'!I$63:I$74)</f>
        <v>0</v>
      </c>
      <c r="N46" s="187">
        <f>MIN('Trading Report'!I$75:I$86)</f>
        <v>0</v>
      </c>
      <c r="O46" s="187">
        <f>MIN('Trading Report'!I$87:I$98)</f>
        <v>0</v>
      </c>
      <c r="P46" s="187">
        <f>MIN('Trading Report'!I$99:I$110)</f>
        <v>0</v>
      </c>
      <c r="Q46" s="187">
        <f>MIN('Trading Report'!I$111:I$122)</f>
        <v>0</v>
      </c>
      <c r="R46" s="187">
        <f>MIN('Trading Report'!I$123:I$134)</f>
        <v>0</v>
      </c>
      <c r="S46" s="187">
        <f>MIN('Trading Report'!I$135:I$146)</f>
        <v>0</v>
      </c>
      <c r="T46" s="187">
        <f>MIN('Trading Report'!I$147:I$158)</f>
        <v>0</v>
      </c>
      <c r="U46" s="187">
        <f>MIN('Trading Report'!I$159:I$170)</f>
        <v>0</v>
      </c>
      <c r="V46" s="187">
        <f>MIN('Trading Report'!I$171:I$182)</f>
        <v>0</v>
      </c>
      <c r="W46" s="187">
        <f>MIN('Trading Report'!I$183:I$194)</f>
        <v>0</v>
      </c>
      <c r="X46" s="187">
        <f>MIN('Trading Report'!I$195:I$206)</f>
        <v>0</v>
      </c>
      <c r="Y46" s="187">
        <f>MIN('Trading Report'!I$207:I$218)</f>
        <v>0</v>
      </c>
      <c r="Z46" s="187">
        <f>MIN('Trading Report'!I$219:I$230)</f>
        <v>0</v>
      </c>
      <c r="AA46" s="187">
        <f>MIN('Trading Report'!I$231:I$242)</f>
        <v>0</v>
      </c>
      <c r="AB46" s="187">
        <f>MIN('Trading Report'!I$243:I$254)</f>
        <v>0</v>
      </c>
      <c r="AC46" s="187">
        <f>MIN('Trading Report'!I$255:I$266)</f>
        <v>0</v>
      </c>
      <c r="AD46" s="187">
        <f>MIN('Trading Report'!I$267:I$278)</f>
        <v>0</v>
      </c>
      <c r="AE46" s="187">
        <f>MIN('Trading Report'!I$279:I$290)</f>
        <v>0</v>
      </c>
    </row>
    <row r="47" spans="1:31" ht="18.75" customHeight="1">
      <c r="G47" s="20" t="s">
        <v>87</v>
      </c>
      <c r="H47" s="187">
        <f>SUM('Trading Report'!I$3:I$14)</f>
        <v>0</v>
      </c>
      <c r="I47" s="187">
        <f>SUM('Trading Report'!I$15:I$26)</f>
        <v>0</v>
      </c>
      <c r="J47" s="187">
        <f>SUM('Trading Report'!I$27:I$38)</f>
        <v>0</v>
      </c>
      <c r="K47" s="187">
        <f>SUM('Trading Report'!I$39:I$50)</f>
        <v>0</v>
      </c>
      <c r="L47" s="187">
        <f>SUM('Trading Report'!I$51:I$62)</f>
        <v>0</v>
      </c>
      <c r="M47" s="187">
        <f>SUM('Trading Report'!I$63:I$74)</f>
        <v>0</v>
      </c>
      <c r="N47" s="187">
        <f>SUM('Trading Report'!I$75:I$86)</f>
        <v>0</v>
      </c>
      <c r="O47" s="187">
        <f>SUM('Trading Report'!I$87:I$98)</f>
        <v>0</v>
      </c>
      <c r="P47" s="187">
        <f>SUM('Trading Report'!I$99:I$110)</f>
        <v>0</v>
      </c>
      <c r="Q47" s="187">
        <f>SUM('Trading Report'!I$111:I$122)</f>
        <v>0</v>
      </c>
      <c r="R47" s="187">
        <f>SUM('Trading Report'!I$123:I$134)</f>
        <v>0</v>
      </c>
      <c r="S47" s="187">
        <f>SUM('Trading Report'!I$135:I$146)</f>
        <v>0</v>
      </c>
      <c r="T47" s="187">
        <f>SUM('Trading Report'!I$147:I$158)</f>
        <v>0</v>
      </c>
      <c r="U47" s="187">
        <f>SUM('Trading Report'!I$159:I$170)</f>
        <v>0</v>
      </c>
      <c r="V47" s="187">
        <f>SUM('Trading Report'!I$171:I$182)</f>
        <v>0</v>
      </c>
      <c r="W47" s="187">
        <f>SUM('Trading Report'!I$183:I$194)</f>
        <v>0</v>
      </c>
      <c r="X47" s="187">
        <f>SUM('Trading Report'!I$195:I$206)</f>
        <v>0</v>
      </c>
      <c r="Y47" s="187">
        <f>SUM('Trading Report'!I$207:I$218)</f>
        <v>0</v>
      </c>
      <c r="Z47" s="187">
        <f>SUM('Trading Report'!I$219:I$230)</f>
        <v>0</v>
      </c>
      <c r="AA47" s="187">
        <f>SUM('Trading Report'!I$231:I$242)</f>
        <v>0</v>
      </c>
      <c r="AB47" s="187">
        <f>SUM('Trading Report'!I$243:I$254)</f>
        <v>0</v>
      </c>
      <c r="AC47" s="187">
        <f>SUM('Trading Report'!I$255:I$266)</f>
        <v>0</v>
      </c>
      <c r="AD47" s="187">
        <f>SUM('Trading Report'!I$267:I$278)</f>
        <v>0</v>
      </c>
      <c r="AE47" s="187">
        <f>SUM('Trading Report'!I$279:I$290)</f>
        <v>0</v>
      </c>
    </row>
    <row r="48" spans="1:31" ht="18.75" customHeight="1">
      <c r="A48" s="15"/>
      <c r="B48" s="15"/>
      <c r="C48" s="15"/>
      <c r="D48" s="15"/>
      <c r="E48" s="15"/>
      <c r="G48" s="25"/>
    </row>
    <row r="49" spans="1:31" s="15" customFormat="1" ht="31.5" customHeight="1">
      <c r="A49"/>
      <c r="B49"/>
      <c r="C49"/>
      <c r="D49"/>
      <c r="E49"/>
      <c r="G49" s="25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</row>
    <row r="50" spans="1:31" ht="18.75" customHeight="1">
      <c r="G50" s="134" t="s">
        <v>773</v>
      </c>
      <c r="H50" s="134" t="s">
        <v>40</v>
      </c>
      <c r="I50" s="134" t="s">
        <v>41</v>
      </c>
      <c r="J50" s="134" t="s">
        <v>42</v>
      </c>
      <c r="K50" s="134" t="s">
        <v>43</v>
      </c>
      <c r="L50" s="134" t="s">
        <v>44</v>
      </c>
      <c r="M50" s="134" t="s">
        <v>45</v>
      </c>
      <c r="N50" s="134" t="s">
        <v>46</v>
      </c>
      <c r="O50" s="134" t="s">
        <v>47</v>
      </c>
      <c r="P50" s="134" t="s">
        <v>48</v>
      </c>
      <c r="Q50" s="134" t="s">
        <v>49</v>
      </c>
      <c r="R50" s="134" t="s">
        <v>50</v>
      </c>
      <c r="S50" s="134" t="s">
        <v>51</v>
      </c>
      <c r="T50" s="134" t="s">
        <v>52</v>
      </c>
      <c r="U50" s="134" t="s">
        <v>53</v>
      </c>
      <c r="V50" s="134" t="s">
        <v>54</v>
      </c>
      <c r="W50" s="134" t="s">
        <v>55</v>
      </c>
      <c r="X50" s="134" t="s">
        <v>56</v>
      </c>
      <c r="Y50" s="134" t="s">
        <v>57</v>
      </c>
      <c r="Z50" s="134" t="s">
        <v>58</v>
      </c>
      <c r="AA50" s="134" t="s">
        <v>59</v>
      </c>
      <c r="AB50" s="134" t="s">
        <v>60</v>
      </c>
      <c r="AC50" s="134" t="s">
        <v>61</v>
      </c>
      <c r="AD50" s="134" t="s">
        <v>62</v>
      </c>
      <c r="AE50" s="134" t="s">
        <v>63</v>
      </c>
    </row>
    <row r="51" spans="1:31" ht="18.75" customHeight="1">
      <c r="G51" s="165" t="s">
        <v>775</v>
      </c>
      <c r="H51" s="154">
        <f>MQ!B82</f>
        <v>0</v>
      </c>
      <c r="I51" s="154">
        <f>MQ!C82</f>
        <v>0</v>
      </c>
      <c r="J51" s="154">
        <f>MQ!D82</f>
        <v>0</v>
      </c>
      <c r="K51" s="154">
        <f>MQ!E82</f>
        <v>0</v>
      </c>
      <c r="L51" s="154">
        <f>MQ!F82</f>
        <v>0</v>
      </c>
      <c r="M51" s="154">
        <f>MQ!G82</f>
        <v>0</v>
      </c>
      <c r="N51" s="154">
        <f>MQ!H82</f>
        <v>0</v>
      </c>
      <c r="O51" s="154">
        <f>MQ!I82</f>
        <v>0</v>
      </c>
      <c r="P51" s="154">
        <f>MQ!J82</f>
        <v>0</v>
      </c>
      <c r="Q51" s="154">
        <f>MQ!K82</f>
        <v>0</v>
      </c>
      <c r="R51" s="154">
        <f>MQ!L82</f>
        <v>0</v>
      </c>
      <c r="S51" s="154">
        <f>MQ!M82</f>
        <v>0</v>
      </c>
      <c r="T51" s="154">
        <f>MQ!N82</f>
        <v>0</v>
      </c>
      <c r="U51" s="154">
        <f>MQ!O82</f>
        <v>0</v>
      </c>
      <c r="V51" s="154">
        <f>MQ!P82</f>
        <v>0</v>
      </c>
      <c r="W51" s="154">
        <f>MQ!Q82</f>
        <v>0</v>
      </c>
      <c r="X51" s="154">
        <f>MQ!R82</f>
        <v>0</v>
      </c>
      <c r="Y51" s="154">
        <f>MQ!S82</f>
        <v>0</v>
      </c>
      <c r="Z51" s="154">
        <f>MQ!T82</f>
        <v>0</v>
      </c>
      <c r="AA51" s="154">
        <f>MQ!U82</f>
        <v>0</v>
      </c>
      <c r="AB51" s="154">
        <f>MQ!V82</f>
        <v>0</v>
      </c>
      <c r="AC51" s="154">
        <f>MQ!W82</f>
        <v>0</v>
      </c>
      <c r="AD51" s="154">
        <f>MQ!X82</f>
        <v>0</v>
      </c>
      <c r="AE51" s="154">
        <f>MQ!Y82</f>
        <v>0</v>
      </c>
    </row>
    <row r="52" spans="1:31" ht="47.25" customHeight="1">
      <c r="G52" s="165" t="s">
        <v>776</v>
      </c>
      <c r="H52" s="154">
        <f>MQ!B83</f>
        <v>0</v>
      </c>
      <c r="I52" s="154">
        <f>MQ!C83</f>
        <v>0</v>
      </c>
      <c r="J52" s="154">
        <f>MQ!D83</f>
        <v>0</v>
      </c>
      <c r="K52" s="154">
        <f>MQ!E83</f>
        <v>0</v>
      </c>
      <c r="L52" s="154">
        <f>MQ!F83</f>
        <v>0</v>
      </c>
      <c r="M52" s="154">
        <f>MQ!H83</f>
        <v>0</v>
      </c>
      <c r="N52" s="154">
        <f>MQ!H83</f>
        <v>0</v>
      </c>
      <c r="O52" s="154">
        <f>MQ!I83</f>
        <v>0</v>
      </c>
      <c r="P52" s="154">
        <f>MQ!J83</f>
        <v>0</v>
      </c>
      <c r="Q52" s="154">
        <f>MQ!K83</f>
        <v>0</v>
      </c>
      <c r="R52" s="154">
        <f>MQ!L83</f>
        <v>0</v>
      </c>
      <c r="S52" s="154">
        <f>MQ!M83</f>
        <v>0</v>
      </c>
      <c r="T52" s="154">
        <f>MQ!N83</f>
        <v>0</v>
      </c>
      <c r="U52" s="154">
        <f>MQ!O83</f>
        <v>0</v>
      </c>
      <c r="V52" s="154">
        <f>MQ!P83</f>
        <v>0</v>
      </c>
      <c r="W52" s="154">
        <f>MQ!Q83</f>
        <v>0</v>
      </c>
      <c r="X52" s="154">
        <f>MQ!R83</f>
        <v>0</v>
      </c>
      <c r="Y52" s="154">
        <f>MQ!S83</f>
        <v>0</v>
      </c>
      <c r="Z52" s="154">
        <f>MQ!T83</f>
        <v>0</v>
      </c>
      <c r="AA52" s="154">
        <f>MQ!U83</f>
        <v>0</v>
      </c>
      <c r="AB52" s="154">
        <f>MQ!V83</f>
        <v>0</v>
      </c>
      <c r="AC52" s="154">
        <f>MQ!W83</f>
        <v>0</v>
      </c>
      <c r="AD52" s="154">
        <f>MQ!X83</f>
        <v>0</v>
      </c>
      <c r="AE52" s="154">
        <f>MQ!Y83</f>
        <v>0</v>
      </c>
    </row>
    <row r="53" spans="1:31" ht="18.75" customHeight="1">
      <c r="G53" s="165" t="s">
        <v>777</v>
      </c>
      <c r="H53" s="154">
        <f>MQ!B84</f>
        <v>0</v>
      </c>
      <c r="I53" s="154">
        <f>MQ!C84</f>
        <v>0</v>
      </c>
      <c r="J53" s="154">
        <f>MQ!D84</f>
        <v>0</v>
      </c>
      <c r="K53" s="154">
        <f>MQ!E84</f>
        <v>0</v>
      </c>
      <c r="L53" s="154">
        <f>MQ!F84</f>
        <v>0</v>
      </c>
      <c r="M53" s="154">
        <f>MQ!G84</f>
        <v>0</v>
      </c>
      <c r="N53" s="154">
        <f>MQ!H84</f>
        <v>0</v>
      </c>
      <c r="O53" s="154">
        <f>MQ!I84</f>
        <v>0</v>
      </c>
      <c r="P53" s="154">
        <f>MQ!J84</f>
        <v>0</v>
      </c>
      <c r="Q53" s="154">
        <f>MQ!K84</f>
        <v>0</v>
      </c>
      <c r="R53" s="154">
        <f>MQ!L84</f>
        <v>0</v>
      </c>
      <c r="S53" s="154">
        <f>MQ!M84</f>
        <v>0</v>
      </c>
      <c r="T53" s="154">
        <f>MQ!N84</f>
        <v>0</v>
      </c>
      <c r="U53" s="154">
        <f>MQ!O84</f>
        <v>0</v>
      </c>
      <c r="V53" s="154">
        <f>MQ!P84</f>
        <v>0</v>
      </c>
      <c r="W53" s="154">
        <f>MQ!Q84</f>
        <v>0</v>
      </c>
      <c r="X53" s="154">
        <f>MQ!R84</f>
        <v>0</v>
      </c>
      <c r="Y53" s="154">
        <f>MQ!S84</f>
        <v>0</v>
      </c>
      <c r="Z53" s="154">
        <f>MQ!T84</f>
        <v>0</v>
      </c>
      <c r="AA53" s="154">
        <f>MQ!U84</f>
        <v>0</v>
      </c>
      <c r="AB53" s="154">
        <f>MQ!V84</f>
        <v>0</v>
      </c>
      <c r="AC53" s="154">
        <f>MQ!W84</f>
        <v>0</v>
      </c>
      <c r="AD53" s="154">
        <f>MQ!X84</f>
        <v>0</v>
      </c>
      <c r="AE53" s="154">
        <f>MQ!Y84</f>
        <v>0</v>
      </c>
    </row>
    <row r="54" spans="1:31" ht="18.75" customHeight="1">
      <c r="A54" s="15"/>
      <c r="B54" s="15"/>
      <c r="C54" s="15"/>
      <c r="D54" s="15"/>
      <c r="E54" s="15"/>
      <c r="G54" s="165" t="s">
        <v>778</v>
      </c>
      <c r="H54" s="154">
        <f>MQ!B85</f>
        <v>0</v>
      </c>
      <c r="I54" s="154">
        <f>MQ!C85</f>
        <v>0</v>
      </c>
      <c r="J54" s="154">
        <f>MQ!D85</f>
        <v>0</v>
      </c>
      <c r="K54" s="154">
        <f>MQ!E85</f>
        <v>0</v>
      </c>
      <c r="L54" s="154">
        <f>MQ!F85</f>
        <v>0</v>
      </c>
      <c r="M54" s="154">
        <f>MQ!H85</f>
        <v>0</v>
      </c>
      <c r="N54" s="154">
        <f>MQ!H85</f>
        <v>0</v>
      </c>
      <c r="O54" s="154">
        <f>MQ!I85</f>
        <v>0</v>
      </c>
      <c r="P54" s="154">
        <f>MQ!J85</f>
        <v>0</v>
      </c>
      <c r="Q54" s="154">
        <f>MQ!K85</f>
        <v>0</v>
      </c>
      <c r="R54" s="154">
        <f>MQ!L85</f>
        <v>0</v>
      </c>
      <c r="S54" s="154">
        <f>MQ!M85</f>
        <v>0</v>
      </c>
      <c r="T54" s="154">
        <f>MQ!N85</f>
        <v>0</v>
      </c>
      <c r="U54" s="154">
        <f>MQ!O85</f>
        <v>0</v>
      </c>
      <c r="V54" s="154">
        <f>MQ!P85</f>
        <v>0</v>
      </c>
      <c r="W54" s="154">
        <f>MQ!Q85</f>
        <v>0</v>
      </c>
      <c r="X54" s="154">
        <f>MQ!S85</f>
        <v>0</v>
      </c>
      <c r="Y54" s="154">
        <f>MQ!S85</f>
        <v>0</v>
      </c>
      <c r="Z54" s="154">
        <f>MQ!T85</f>
        <v>0</v>
      </c>
      <c r="AA54" s="154">
        <f>MQ!U85</f>
        <v>0</v>
      </c>
      <c r="AB54" s="154">
        <f>MQ!V85</f>
        <v>0</v>
      </c>
      <c r="AC54" s="154">
        <f>MQ!W85</f>
        <v>0</v>
      </c>
      <c r="AD54" s="154">
        <f>MQ!X85</f>
        <v>0</v>
      </c>
      <c r="AE54" s="154">
        <f>MQ!Y85</f>
        <v>0</v>
      </c>
    </row>
    <row r="55" spans="1:31" ht="18.75" customHeight="1"/>
    <row r="56" spans="1:31" ht="18.75" customHeight="1">
      <c r="G56" s="164" t="s">
        <v>774</v>
      </c>
      <c r="H56" s="164" t="s">
        <v>40</v>
      </c>
      <c r="I56" s="164" t="s">
        <v>41</v>
      </c>
      <c r="J56" s="164" t="s">
        <v>42</v>
      </c>
      <c r="K56" s="164" t="s">
        <v>43</v>
      </c>
      <c r="L56" s="164" t="s">
        <v>44</v>
      </c>
      <c r="M56" s="164" t="s">
        <v>45</v>
      </c>
      <c r="N56" s="164" t="s">
        <v>46</v>
      </c>
      <c r="O56" s="164" t="s">
        <v>47</v>
      </c>
      <c r="P56" s="164" t="s">
        <v>48</v>
      </c>
      <c r="Q56" s="164" t="s">
        <v>49</v>
      </c>
      <c r="R56" s="164" t="s">
        <v>50</v>
      </c>
      <c r="S56" s="164" t="s">
        <v>51</v>
      </c>
      <c r="T56" s="164" t="s">
        <v>52</v>
      </c>
      <c r="U56" s="164" t="s">
        <v>53</v>
      </c>
      <c r="V56" s="164" t="s">
        <v>54</v>
      </c>
      <c r="W56" s="164" t="s">
        <v>55</v>
      </c>
      <c r="X56" s="164" t="s">
        <v>56</v>
      </c>
      <c r="Y56" s="164" t="s">
        <v>57</v>
      </c>
      <c r="Z56" s="164" t="s">
        <v>58</v>
      </c>
      <c r="AA56" s="164" t="s">
        <v>59</v>
      </c>
      <c r="AB56" s="164" t="s">
        <v>60</v>
      </c>
      <c r="AC56" s="164" t="s">
        <v>61</v>
      </c>
      <c r="AD56" s="164" t="s">
        <v>62</v>
      </c>
      <c r="AE56" s="164" t="s">
        <v>63</v>
      </c>
    </row>
    <row r="57" spans="1:31" ht="18.75" customHeight="1">
      <c r="G57" s="165" t="s">
        <v>775</v>
      </c>
      <c r="H57" s="187">
        <f>MQ!B88</f>
        <v>0</v>
      </c>
      <c r="I57" s="187">
        <f>MQ!C88</f>
        <v>0</v>
      </c>
      <c r="J57" s="187">
        <f>MQ!D88</f>
        <v>0</v>
      </c>
      <c r="K57" s="187">
        <f>MQ!E88</f>
        <v>0</v>
      </c>
      <c r="L57" s="187">
        <f>MQ!F88</f>
        <v>0</v>
      </c>
      <c r="M57" s="187">
        <f>MQ!G88</f>
        <v>0</v>
      </c>
      <c r="N57" s="187">
        <f>MQ!H88</f>
        <v>0</v>
      </c>
      <c r="O57" s="187">
        <f>MQ!I88</f>
        <v>0</v>
      </c>
      <c r="P57" s="187">
        <f>MQ!J88</f>
        <v>0</v>
      </c>
      <c r="Q57" s="187">
        <f>MQ!K88</f>
        <v>0</v>
      </c>
      <c r="R57" s="187">
        <f>MQ!L88</f>
        <v>0</v>
      </c>
      <c r="S57" s="187">
        <f>MQ!M88</f>
        <v>0</v>
      </c>
      <c r="T57" s="187">
        <f>MQ!N88</f>
        <v>0</v>
      </c>
      <c r="U57" s="187">
        <f>MQ!O88</f>
        <v>0</v>
      </c>
      <c r="V57" s="187">
        <f>MQ!P88</f>
        <v>0</v>
      </c>
      <c r="W57" s="187">
        <f>MQ!Q88</f>
        <v>0</v>
      </c>
      <c r="X57" s="187">
        <f>MQ!R88</f>
        <v>0</v>
      </c>
      <c r="Y57" s="187">
        <f>MQ!S88</f>
        <v>0</v>
      </c>
      <c r="Z57" s="187">
        <f>MQ!T88</f>
        <v>0</v>
      </c>
      <c r="AA57" s="187">
        <f>MQ!U88</f>
        <v>0</v>
      </c>
      <c r="AB57" s="187">
        <f>MQ!V88</f>
        <v>0</v>
      </c>
      <c r="AC57" s="187">
        <f>MQ!W88</f>
        <v>0</v>
      </c>
      <c r="AD57" s="187">
        <f>MQ!X88</f>
        <v>0</v>
      </c>
      <c r="AE57" s="187">
        <f>MQ!Y88</f>
        <v>0</v>
      </c>
    </row>
    <row r="58" spans="1:31" ht="30" customHeight="1">
      <c r="G58" s="165" t="s">
        <v>776</v>
      </c>
      <c r="H58" s="187">
        <f>MQ!B89</f>
        <v>0</v>
      </c>
      <c r="I58" s="187">
        <f>MQ!C89</f>
        <v>0</v>
      </c>
      <c r="J58" s="187">
        <f>MQ!D89</f>
        <v>0</v>
      </c>
      <c r="K58" s="187">
        <f>MQ!E89</f>
        <v>0</v>
      </c>
      <c r="L58" s="187">
        <f>MQ!F89</f>
        <v>0</v>
      </c>
      <c r="M58" s="187">
        <f>MQ!G89</f>
        <v>0</v>
      </c>
      <c r="N58" s="187">
        <f>MQ!H89</f>
        <v>0</v>
      </c>
      <c r="O58" s="187">
        <f>MQ!I89</f>
        <v>0</v>
      </c>
      <c r="P58" s="187">
        <f>MQ!J89</f>
        <v>0</v>
      </c>
      <c r="Q58" s="187">
        <f>MQ!K89</f>
        <v>0</v>
      </c>
      <c r="R58" s="187">
        <f>MQ!L89</f>
        <v>0</v>
      </c>
      <c r="S58" s="187">
        <f>MQ!M89</f>
        <v>0</v>
      </c>
      <c r="T58" s="187">
        <f>MQ!N89</f>
        <v>0</v>
      </c>
      <c r="U58" s="187">
        <f>MQ!O89</f>
        <v>0</v>
      </c>
      <c r="V58" s="187">
        <f>MQ!P89</f>
        <v>0</v>
      </c>
      <c r="W58" s="187">
        <f>MQ!Q89</f>
        <v>0</v>
      </c>
      <c r="X58" s="187">
        <f>MQ!R89</f>
        <v>0</v>
      </c>
      <c r="Y58" s="187">
        <f>MQ!S89</f>
        <v>0</v>
      </c>
      <c r="Z58" s="187">
        <f>MQ!T89</f>
        <v>0</v>
      </c>
      <c r="AA58" s="187">
        <f>MQ!U89</f>
        <v>0</v>
      </c>
      <c r="AB58" s="187">
        <f>MQ!V89</f>
        <v>0</v>
      </c>
      <c r="AC58" s="187">
        <f>MQ!W89</f>
        <v>0</v>
      </c>
      <c r="AD58" s="187">
        <f>MQ!X89</f>
        <v>0</v>
      </c>
      <c r="AE58" s="187">
        <f>MQ!Y89</f>
        <v>0</v>
      </c>
    </row>
    <row r="59" spans="1:31" ht="18.75" customHeight="1">
      <c r="G59" s="165" t="s">
        <v>777</v>
      </c>
      <c r="H59" s="187">
        <f>MQ!B90</f>
        <v>0</v>
      </c>
      <c r="I59" s="187">
        <f>MQ!C90</f>
        <v>0</v>
      </c>
      <c r="J59" s="187">
        <f>MQ!D90</f>
        <v>0</v>
      </c>
      <c r="K59" s="187">
        <f>MQ!E90</f>
        <v>0</v>
      </c>
      <c r="L59" s="187">
        <f>MQ!F90</f>
        <v>0</v>
      </c>
      <c r="M59" s="187">
        <f>MQ!G90</f>
        <v>0</v>
      </c>
      <c r="N59" s="187">
        <f>MQ!H90</f>
        <v>0</v>
      </c>
      <c r="O59" s="187">
        <f>MQ!I90</f>
        <v>0</v>
      </c>
      <c r="P59" s="187">
        <f>MQ!J90</f>
        <v>0</v>
      </c>
      <c r="Q59" s="187">
        <f>MQ!K90</f>
        <v>0</v>
      </c>
      <c r="R59" s="187">
        <f>MQ!L90</f>
        <v>0</v>
      </c>
      <c r="S59" s="187">
        <f>MQ!M90</f>
        <v>0</v>
      </c>
      <c r="T59" s="187">
        <f>MQ!N90</f>
        <v>0</v>
      </c>
      <c r="U59" s="187">
        <f>MQ!O90</f>
        <v>0</v>
      </c>
      <c r="V59" s="187">
        <f>MQ!P90</f>
        <v>0</v>
      </c>
      <c r="W59" s="187">
        <f>MQ!Q90</f>
        <v>0</v>
      </c>
      <c r="X59" s="187">
        <f>MQ!R90</f>
        <v>0</v>
      </c>
      <c r="Y59" s="187">
        <f>MQ!S90</f>
        <v>0</v>
      </c>
      <c r="Z59" s="187">
        <f>MQ!T90</f>
        <v>0</v>
      </c>
      <c r="AA59" s="187">
        <f>MQ!U90</f>
        <v>0</v>
      </c>
      <c r="AB59" s="187">
        <f>MQ!V90</f>
        <v>0</v>
      </c>
      <c r="AC59" s="187">
        <f>MQ!W90</f>
        <v>0</v>
      </c>
      <c r="AD59" s="187">
        <f>MQ!X90</f>
        <v>0</v>
      </c>
      <c r="AE59" s="187">
        <f>MQ!Y90</f>
        <v>0</v>
      </c>
    </row>
    <row r="60" spans="1:31" ht="18.75" customHeight="1">
      <c r="G60" s="165" t="s">
        <v>778</v>
      </c>
      <c r="H60" s="187">
        <f>MQ!B91</f>
        <v>0</v>
      </c>
      <c r="I60" s="187">
        <f>MQ!C91</f>
        <v>0</v>
      </c>
      <c r="J60" s="187">
        <f>MQ!D91</f>
        <v>0</v>
      </c>
      <c r="K60" s="187">
        <f>MQ!E91</f>
        <v>0</v>
      </c>
      <c r="L60" s="187">
        <f>MQ!F91</f>
        <v>0</v>
      </c>
      <c r="M60" s="187">
        <f>MQ!G91</f>
        <v>0</v>
      </c>
      <c r="N60" s="187">
        <f>MQ!H91</f>
        <v>0</v>
      </c>
      <c r="O60" s="187">
        <f>MQ!I91</f>
        <v>0</v>
      </c>
      <c r="P60" s="187">
        <f>MQ!J91</f>
        <v>0</v>
      </c>
      <c r="Q60" s="187">
        <f>MQ!K91</f>
        <v>0</v>
      </c>
      <c r="R60" s="187">
        <f>MQ!L91</f>
        <v>0</v>
      </c>
      <c r="S60" s="187">
        <f>MQ!M91</f>
        <v>0</v>
      </c>
      <c r="T60" s="187">
        <f>MQ!N91</f>
        <v>0</v>
      </c>
      <c r="U60" s="187">
        <f>MQ!O91</f>
        <v>0</v>
      </c>
      <c r="V60" s="187">
        <f>MQ!P91</f>
        <v>0</v>
      </c>
      <c r="W60" s="187">
        <f>MQ!Q91</f>
        <v>0</v>
      </c>
      <c r="X60" s="187">
        <f>MQ!R91</f>
        <v>0</v>
      </c>
      <c r="Y60" s="187">
        <f>MQ!S91</f>
        <v>0</v>
      </c>
      <c r="Z60" s="187">
        <f>MQ!T91</f>
        <v>0</v>
      </c>
      <c r="AA60" s="187">
        <f>MQ!U91</f>
        <v>0</v>
      </c>
      <c r="AB60" s="187">
        <f>MQ!V91</f>
        <v>0</v>
      </c>
      <c r="AC60" s="187">
        <f>MQ!W91</f>
        <v>0</v>
      </c>
      <c r="AD60" s="187">
        <f>MQ!X91</f>
        <v>0</v>
      </c>
      <c r="AE60" s="187">
        <f>MQ!Y91</f>
        <v>0</v>
      </c>
    </row>
    <row r="61" spans="1:31" ht="18.75" customHeight="1"/>
    <row r="62" spans="1:31" ht="18.75" customHeight="1">
      <c r="G62" s="139" t="s">
        <v>71</v>
      </c>
      <c r="H62" s="139" t="s">
        <v>40</v>
      </c>
      <c r="I62" s="139" t="s">
        <v>41</v>
      </c>
      <c r="J62" s="139" t="s">
        <v>42</v>
      </c>
      <c r="K62" s="139" t="s">
        <v>43</v>
      </c>
      <c r="L62" s="139" t="s">
        <v>44</v>
      </c>
      <c r="M62" s="139" t="s">
        <v>45</v>
      </c>
      <c r="N62" s="139" t="s">
        <v>46</v>
      </c>
      <c r="O62" s="139" t="s">
        <v>47</v>
      </c>
      <c r="P62" s="139" t="s">
        <v>48</v>
      </c>
      <c r="Q62" s="139" t="s">
        <v>49</v>
      </c>
      <c r="R62" s="139" t="s">
        <v>50</v>
      </c>
      <c r="S62" s="139" t="s">
        <v>51</v>
      </c>
      <c r="T62" s="139" t="s">
        <v>52</v>
      </c>
      <c r="U62" s="139" t="s">
        <v>53</v>
      </c>
      <c r="V62" s="139" t="s">
        <v>54</v>
      </c>
      <c r="W62" s="139" t="s">
        <v>55</v>
      </c>
      <c r="X62" s="139" t="s">
        <v>56</v>
      </c>
      <c r="Y62" s="139" t="s">
        <v>57</v>
      </c>
      <c r="Z62" s="139" t="s">
        <v>58</v>
      </c>
      <c r="AA62" s="139" t="s">
        <v>59</v>
      </c>
      <c r="AB62" s="139" t="s">
        <v>60</v>
      </c>
      <c r="AC62" s="139" t="s">
        <v>61</v>
      </c>
      <c r="AD62" s="139" t="s">
        <v>62</v>
      </c>
      <c r="AE62" s="139" t="s">
        <v>63</v>
      </c>
    </row>
    <row r="63" spans="1:31">
      <c r="G63" s="20" t="s">
        <v>64</v>
      </c>
      <c r="H63" s="187">
        <f>MAX('Trading Report'!F$3:F$14)</f>
        <v>0</v>
      </c>
      <c r="I63" s="187">
        <f>MAX('Trading Report'!F$15:F$26)</f>
        <v>0</v>
      </c>
      <c r="J63" s="187">
        <f>MAX('Trading Report'!F$27:F$38)</f>
        <v>0</v>
      </c>
      <c r="K63" s="187">
        <f>MAX('Trading Report'!F$39:F$50)</f>
        <v>0</v>
      </c>
      <c r="L63" s="187">
        <f>MAX('Trading Report'!F$51:F$62)</f>
        <v>0</v>
      </c>
      <c r="M63" s="187">
        <f>MAX('Trading Report'!F$63:F$74)</f>
        <v>0</v>
      </c>
      <c r="N63" s="187">
        <f>MAX('Trading Report'!F$75:F$86)</f>
        <v>0</v>
      </c>
      <c r="O63" s="187">
        <f>MAX('Trading Report'!F$87:F$98)</f>
        <v>0</v>
      </c>
      <c r="P63" s="187">
        <f>MAX('Trading Report'!F$99:F$110)</f>
        <v>0</v>
      </c>
      <c r="Q63" s="187">
        <f>MAX('Trading Report'!F$111:F$122)</f>
        <v>0</v>
      </c>
      <c r="R63" s="187">
        <f>MAX('Trading Report'!F$123:F$134)</f>
        <v>0</v>
      </c>
      <c r="S63" s="187">
        <f>MAX('Trading Report'!F$135:F$146)</f>
        <v>0</v>
      </c>
      <c r="T63" s="187">
        <f>MAX('Trading Report'!F$147:F$158)</f>
        <v>0</v>
      </c>
      <c r="U63" s="187">
        <f>MAX('Trading Report'!F$159:F$170)</f>
        <v>0</v>
      </c>
      <c r="V63" s="187">
        <f>MAX('Trading Report'!F$171:F$182)</f>
        <v>0</v>
      </c>
      <c r="W63" s="187">
        <f>MAX('Trading Report'!F$183:F$194)</f>
        <v>0</v>
      </c>
      <c r="X63" s="187">
        <f>MAX('Trading Report'!F$195:F$206)</f>
        <v>0</v>
      </c>
      <c r="Y63" s="187">
        <f>MAX('Trading Report'!F$207:F$218)</f>
        <v>0</v>
      </c>
      <c r="Z63" s="187">
        <f>MAX('Trading Report'!F$219:F$230)</f>
        <v>0</v>
      </c>
      <c r="AA63" s="187">
        <f>MAX('Trading Report'!F$231:F$242)</f>
        <v>0</v>
      </c>
      <c r="AB63" s="187">
        <f>MAX('Trading Report'!F$243:F$254)</f>
        <v>0</v>
      </c>
      <c r="AC63" s="187">
        <f>MAX('Trading Report'!F$255:F$266)</f>
        <v>0</v>
      </c>
      <c r="AD63" s="187">
        <f>MAX('Trading Report'!F$267:F$278)</f>
        <v>0</v>
      </c>
      <c r="AE63" s="187">
        <f>MAX('Trading Report'!F$279:F$290)</f>
        <v>0</v>
      </c>
    </row>
    <row r="64" spans="1:31">
      <c r="G64" s="20" t="s">
        <v>65</v>
      </c>
      <c r="H64" s="187">
        <f>AVERAGE('Trading Report'!F$3:F$14)</f>
        <v>0</v>
      </c>
      <c r="I64" s="187">
        <f>AVERAGE('Trading Report'!F$15:F$26)</f>
        <v>0</v>
      </c>
      <c r="J64" s="187">
        <f>AVERAGE('Trading Report'!F$27:F$38)</f>
        <v>0</v>
      </c>
      <c r="K64" s="187">
        <f>AVERAGE('Trading Report'!F$39:F$50)</f>
        <v>0</v>
      </c>
      <c r="L64" s="187">
        <f>AVERAGE('Trading Report'!F$51:F$62)</f>
        <v>0</v>
      </c>
      <c r="M64" s="187" t="e">
        <f>AVERAGE('Trading Report'!F$63:F$74)</f>
        <v>#DIV/0!</v>
      </c>
      <c r="N64" s="187" t="e">
        <f>AVERAGE('Trading Report'!F$75:F$86)</f>
        <v>#DIV/0!</v>
      </c>
      <c r="O64" s="187" t="e">
        <f>AVERAGE('Trading Report'!F$87:F$98)</f>
        <v>#DIV/0!</v>
      </c>
      <c r="P64" s="187" t="e">
        <f>AVERAGE('Trading Report'!F$99:F$110)</f>
        <v>#DIV/0!</v>
      </c>
      <c r="Q64" s="187" t="e">
        <f>AVERAGE('Trading Report'!F$111:F$122)</f>
        <v>#DIV/0!</v>
      </c>
      <c r="R64" s="187" t="e">
        <f>AVERAGE('Trading Report'!F$123:F$134)</f>
        <v>#DIV/0!</v>
      </c>
      <c r="S64" s="187" t="e">
        <f>AVERAGE('Trading Report'!F$135:F$146)</f>
        <v>#DIV/0!</v>
      </c>
      <c r="T64" s="187" t="e">
        <f>AVERAGE('Trading Report'!F$147:F$158)</f>
        <v>#DIV/0!</v>
      </c>
      <c r="U64" s="187" t="e">
        <f>AVERAGE('Trading Report'!F$159:F$170)</f>
        <v>#DIV/0!</v>
      </c>
      <c r="V64" s="187" t="e">
        <f>AVERAGE('Trading Report'!F$171:F$182)</f>
        <v>#DIV/0!</v>
      </c>
      <c r="W64" s="187" t="e">
        <f>AVERAGE('Trading Report'!F$183:F$194)</f>
        <v>#DIV/0!</v>
      </c>
      <c r="X64" s="187" t="e">
        <f>AVERAGE('Trading Report'!F$195:F$206)</f>
        <v>#DIV/0!</v>
      </c>
      <c r="Y64" s="187" t="e">
        <f>AVERAGE('Trading Report'!F$207:F$218)</f>
        <v>#DIV/0!</v>
      </c>
      <c r="Z64" s="187">
        <f>AVERAGE('Trading Report'!F$219:F$230)</f>
        <v>0</v>
      </c>
      <c r="AA64" s="187">
        <f>AVERAGE('Trading Report'!F$231:F$242)</f>
        <v>0</v>
      </c>
      <c r="AB64" s="187">
        <f>AVERAGE('Trading Report'!F$243:F$254)</f>
        <v>0</v>
      </c>
      <c r="AC64" s="187">
        <f>AVERAGE('Trading Report'!F$255:F$266)</f>
        <v>0</v>
      </c>
      <c r="AD64" s="187">
        <f>AVERAGE('Trading Report'!F$267:F$278)</f>
        <v>0</v>
      </c>
      <c r="AE64" s="187">
        <f>AVERAGE('Trading Report'!F$279:F$290)</f>
        <v>0</v>
      </c>
    </row>
    <row r="65" spans="7:31">
      <c r="G65" s="20" t="s">
        <v>66</v>
      </c>
      <c r="H65" s="187">
        <f>MIN('Trading Report'!F$3:F$14)</f>
        <v>0</v>
      </c>
      <c r="I65" s="187">
        <f>MIN('Trading Report'!F$15:F$26)</f>
        <v>0</v>
      </c>
      <c r="J65" s="187">
        <f>MIN('Trading Report'!F$27:F$38)</f>
        <v>0</v>
      </c>
      <c r="K65" s="187">
        <f>MIN('Trading Report'!F$39:F$50)</f>
        <v>0</v>
      </c>
      <c r="L65" s="187">
        <f>MIN('Trading Report'!F$51:F$62)</f>
        <v>0</v>
      </c>
      <c r="M65" s="187">
        <f>MIN('Trading Report'!F$63:F$74)</f>
        <v>0</v>
      </c>
      <c r="N65" s="187">
        <f>MIN('Trading Report'!F$75:F$86)</f>
        <v>0</v>
      </c>
      <c r="O65" s="187">
        <f>MIN('Trading Report'!F$87:F$98)</f>
        <v>0</v>
      </c>
      <c r="P65" s="187">
        <f>MIN('Trading Report'!F$99:F$110)</f>
        <v>0</v>
      </c>
      <c r="Q65" s="187">
        <f>MIN('Trading Report'!F$111:F$122)</f>
        <v>0</v>
      </c>
      <c r="R65" s="187">
        <f>MIN('Trading Report'!F$123:F$134)</f>
        <v>0</v>
      </c>
      <c r="S65" s="187">
        <f>MIN('Trading Report'!F$135:F$146)</f>
        <v>0</v>
      </c>
      <c r="T65" s="187">
        <f>MIN('Trading Report'!F$147:F$158)</f>
        <v>0</v>
      </c>
      <c r="U65" s="187">
        <f>MIN('Trading Report'!F$159:F$170)</f>
        <v>0</v>
      </c>
      <c r="V65" s="187">
        <f>MIN('Trading Report'!F$171:F$182)</f>
        <v>0</v>
      </c>
      <c r="W65" s="187">
        <f>MIN('Trading Report'!F$183:F$194)</f>
        <v>0</v>
      </c>
      <c r="X65" s="187">
        <f>MIN('Trading Report'!F$195:F$206)</f>
        <v>0</v>
      </c>
      <c r="Y65" s="187">
        <f>MIN('Trading Report'!F$207:F$218)</f>
        <v>0</v>
      </c>
      <c r="Z65" s="187">
        <f>MIN('Trading Report'!F$219:F$230)</f>
        <v>0</v>
      </c>
      <c r="AA65" s="187">
        <f>MIN('Trading Report'!F$231:F$242)</f>
        <v>0</v>
      </c>
      <c r="AB65" s="187">
        <f>MIN('Trading Report'!F$243:F$254)</f>
        <v>0</v>
      </c>
      <c r="AC65" s="187">
        <f>MIN('Trading Report'!F$255:F$266)</f>
        <v>0</v>
      </c>
      <c r="AD65" s="187">
        <f>MIN('Trading Report'!F$267:F$278)</f>
        <v>0</v>
      </c>
      <c r="AE65" s="187">
        <f>MIN('Trading Report'!F$279:F$290)</f>
        <v>0</v>
      </c>
    </row>
    <row r="68" spans="7:31">
      <c r="G68" s="140" t="s">
        <v>72</v>
      </c>
      <c r="H68" s="141" t="s">
        <v>40</v>
      </c>
      <c r="I68" s="141" t="s">
        <v>41</v>
      </c>
      <c r="J68" s="141" t="s">
        <v>42</v>
      </c>
      <c r="K68" s="141" t="s">
        <v>43</v>
      </c>
      <c r="L68" s="141" t="s">
        <v>44</v>
      </c>
      <c r="M68" s="141" t="s">
        <v>45</v>
      </c>
      <c r="N68" s="141" t="s">
        <v>46</v>
      </c>
      <c r="O68" s="141" t="s">
        <v>47</v>
      </c>
      <c r="P68" s="141" t="s">
        <v>48</v>
      </c>
      <c r="Q68" s="141" t="s">
        <v>49</v>
      </c>
      <c r="R68" s="141" t="s">
        <v>50</v>
      </c>
      <c r="S68" s="141" t="s">
        <v>51</v>
      </c>
      <c r="T68" s="141" t="s">
        <v>52</v>
      </c>
      <c r="U68" s="141" t="s">
        <v>53</v>
      </c>
      <c r="V68" s="141" t="s">
        <v>54</v>
      </c>
      <c r="W68" s="141" t="s">
        <v>55</v>
      </c>
      <c r="X68" s="141" t="s">
        <v>56</v>
      </c>
      <c r="Y68" s="141" t="s">
        <v>57</v>
      </c>
      <c r="Z68" s="141" t="s">
        <v>58</v>
      </c>
      <c r="AA68" s="141" t="s">
        <v>59</v>
      </c>
      <c r="AB68" s="141" t="s">
        <v>60</v>
      </c>
      <c r="AC68" s="141" t="s">
        <v>61</v>
      </c>
      <c r="AD68" s="141" t="s">
        <v>62</v>
      </c>
      <c r="AE68" s="141" t="s">
        <v>63</v>
      </c>
    </row>
    <row r="69" spans="7:31">
      <c r="G69" s="20"/>
      <c r="H69" s="28" t="e" cm="1">
        <f t="array" ref="H69:AE69">TRANSPOSE('Trading Report'!O11:O34)</f>
        <v>#REF!</v>
      </c>
      <c r="I69" s="28" t="e">
        <v>#REF!</v>
      </c>
      <c r="J69" s="28" t="e">
        <v>#REF!</v>
      </c>
      <c r="K69" s="28" t="e">
        <v>#REF!</v>
      </c>
      <c r="L69" s="28" t="e">
        <v>#REF!</v>
      </c>
      <c r="M69" s="28" t="e">
        <v>#REF!</v>
      </c>
      <c r="N69" s="28" t="e">
        <v>#REF!</v>
      </c>
      <c r="O69" s="28" t="e">
        <v>#REF!</v>
      </c>
      <c r="P69" s="28" t="e">
        <v>#REF!</v>
      </c>
      <c r="Q69" s="28" t="e">
        <v>#REF!</v>
      </c>
      <c r="R69" s="28" t="e">
        <v>#REF!</v>
      </c>
      <c r="S69" s="28" t="e">
        <v>#REF!</v>
      </c>
      <c r="T69" s="28" t="e">
        <v>#REF!</v>
      </c>
      <c r="U69" s="28" t="e">
        <v>#REF!</v>
      </c>
      <c r="V69" s="28" t="e">
        <v>#REF!</v>
      </c>
      <c r="W69" s="28" t="e">
        <v>#REF!</v>
      </c>
      <c r="X69" s="28" t="e">
        <v>#REF!</v>
      </c>
      <c r="Y69" s="28" t="e">
        <v>#REF!</v>
      </c>
      <c r="Z69" s="28" t="e">
        <v>#REF!</v>
      </c>
      <c r="AA69" s="28" t="e">
        <v>#REF!</v>
      </c>
      <c r="AB69" s="28" t="e">
        <v>#REF!</v>
      </c>
      <c r="AC69" s="28" t="e">
        <v>#REF!</v>
      </c>
      <c r="AD69" s="28" t="e">
        <v>#REF!</v>
      </c>
      <c r="AE69" s="28" t="e">
        <v>#REF!</v>
      </c>
    </row>
    <row r="71" spans="7:31">
      <c r="G71" s="142" t="s">
        <v>28</v>
      </c>
      <c r="H71" s="40" t="s">
        <v>40</v>
      </c>
      <c r="I71" s="40" t="s">
        <v>41</v>
      </c>
      <c r="J71" s="40" t="s">
        <v>42</v>
      </c>
      <c r="K71" s="40" t="s">
        <v>43</v>
      </c>
      <c r="L71" s="40" t="s">
        <v>44</v>
      </c>
      <c r="M71" s="40" t="s">
        <v>45</v>
      </c>
      <c r="N71" s="40" t="s">
        <v>46</v>
      </c>
      <c r="O71" s="40" t="s">
        <v>47</v>
      </c>
      <c r="P71" s="40" t="s">
        <v>48</v>
      </c>
      <c r="Q71" s="40" t="s">
        <v>49</v>
      </c>
      <c r="R71" s="40" t="s">
        <v>50</v>
      </c>
      <c r="S71" s="40" t="s">
        <v>51</v>
      </c>
      <c r="T71" s="40" t="s">
        <v>52</v>
      </c>
      <c r="U71" s="40" t="s">
        <v>53</v>
      </c>
      <c r="V71" s="40" t="s">
        <v>54</v>
      </c>
      <c r="W71" s="40" t="s">
        <v>55</v>
      </c>
      <c r="X71" s="40" t="s">
        <v>56</v>
      </c>
      <c r="Y71" s="40" t="s">
        <v>57</v>
      </c>
      <c r="Z71" s="40" t="s">
        <v>58</v>
      </c>
      <c r="AA71" s="40" t="s">
        <v>59</v>
      </c>
      <c r="AB71" s="40" t="s">
        <v>60</v>
      </c>
      <c r="AC71" s="40" t="s">
        <v>61</v>
      </c>
      <c r="AD71" s="40" t="s">
        <v>62</v>
      </c>
      <c r="AE71" s="40" t="s">
        <v>63</v>
      </c>
    </row>
    <row r="72" spans="7:31">
      <c r="G72" s="20" t="s">
        <v>108</v>
      </c>
      <c r="H72" s="136">
        <f>TA!H14</f>
        <v>0</v>
      </c>
      <c r="I72" s="136">
        <f>TA!H26</f>
        <v>0</v>
      </c>
      <c r="J72" s="136">
        <f>TA!H38</f>
        <v>0</v>
      </c>
      <c r="K72" s="136">
        <f>TA!H50</f>
        <v>0</v>
      </c>
      <c r="L72" s="136">
        <f>TA!H62</f>
        <v>0</v>
      </c>
      <c r="M72" s="136">
        <f>TA!H74</f>
        <v>0</v>
      </c>
      <c r="N72" s="136">
        <f>TA!H86</f>
        <v>0</v>
      </c>
      <c r="O72" s="136">
        <f>TA!H98</f>
        <v>0</v>
      </c>
      <c r="P72" s="136">
        <f>TA!H110</f>
        <v>0</v>
      </c>
      <c r="Q72" s="136">
        <f>TA!H122</f>
        <v>0</v>
      </c>
      <c r="R72" s="136">
        <f>TA!H134</f>
        <v>0</v>
      </c>
      <c r="S72" s="136">
        <f>TA!H146</f>
        <v>0</v>
      </c>
      <c r="T72" s="136">
        <f>TA!H158</f>
        <v>0</v>
      </c>
      <c r="U72" s="136">
        <f>TA!H170</f>
        <v>0</v>
      </c>
      <c r="V72" s="136">
        <f>TA!H182</f>
        <v>0</v>
      </c>
      <c r="W72" s="136">
        <f>TA!H194</f>
        <v>0</v>
      </c>
      <c r="X72" s="136">
        <f>TA!H206</f>
        <v>0</v>
      </c>
      <c r="Y72" s="136">
        <f>TA!H218</f>
        <v>0</v>
      </c>
      <c r="Z72" s="136">
        <f>TA!H230</f>
        <v>0</v>
      </c>
      <c r="AA72" s="136">
        <f>TA!H242</f>
        <v>0</v>
      </c>
      <c r="AB72" s="136">
        <f>TA!H254</f>
        <v>0</v>
      </c>
      <c r="AC72" s="136">
        <f>TA!H266</f>
        <v>0</v>
      </c>
      <c r="AD72" s="136">
        <f>TA!H278</f>
        <v>0</v>
      </c>
      <c r="AE72" s="136">
        <f>TA!H290</f>
        <v>0</v>
      </c>
    </row>
    <row r="73" spans="7:31">
      <c r="G73" s="20" t="s">
        <v>109</v>
      </c>
      <c r="H73" s="136">
        <f>TA!I14</f>
        <v>0</v>
      </c>
      <c r="I73" s="136">
        <f>TA!I26</f>
        <v>0</v>
      </c>
      <c r="J73" s="136">
        <f>TA!I38</f>
        <v>0</v>
      </c>
      <c r="K73" s="136">
        <f>TA!I50</f>
        <v>0</v>
      </c>
      <c r="L73" s="136">
        <f>TA!I62</f>
        <v>0</v>
      </c>
      <c r="M73" s="136">
        <f>TA!I74</f>
        <v>0</v>
      </c>
      <c r="N73" s="136">
        <f>TA!I86</f>
        <v>0</v>
      </c>
      <c r="O73" s="136">
        <f>TA!I98</f>
        <v>0</v>
      </c>
      <c r="P73" s="136">
        <f>TA!I110</f>
        <v>0</v>
      </c>
      <c r="Q73" s="136">
        <f>TA!I122</f>
        <v>0</v>
      </c>
      <c r="R73" s="136">
        <f>TA!I134</f>
        <v>0</v>
      </c>
      <c r="S73" s="136">
        <f>TA!I146</f>
        <v>0</v>
      </c>
      <c r="T73" s="136">
        <f>TA!I158</f>
        <v>0</v>
      </c>
      <c r="U73" s="136">
        <f>TA!I170</f>
        <v>0</v>
      </c>
      <c r="V73" s="136">
        <f>TA!I182</f>
        <v>0</v>
      </c>
      <c r="W73" s="136">
        <f>TA!I194</f>
        <v>0</v>
      </c>
      <c r="X73" s="136">
        <f>TA!I206</f>
        <v>0</v>
      </c>
      <c r="Y73" s="136">
        <f>TA!I218</f>
        <v>0</v>
      </c>
      <c r="Z73" s="136">
        <f>TA!I230</f>
        <v>0</v>
      </c>
      <c r="AA73" s="136">
        <f>TA!I242</f>
        <v>0</v>
      </c>
      <c r="AB73" s="136">
        <f>TA!I254</f>
        <v>0</v>
      </c>
      <c r="AC73" s="136">
        <f>TA!I266</f>
        <v>0</v>
      </c>
      <c r="AD73" s="136">
        <f>TA!I278</f>
        <v>0</v>
      </c>
      <c r="AE73" s="136">
        <f>TA!I290</f>
        <v>0</v>
      </c>
    </row>
    <row r="75" spans="7:31">
      <c r="G75" s="22"/>
      <c r="H75" s="22" t="s">
        <v>40</v>
      </c>
      <c r="I75" s="22" t="s">
        <v>41</v>
      </c>
      <c r="J75" s="22" t="s">
        <v>42</v>
      </c>
      <c r="K75" s="22" t="s">
        <v>43</v>
      </c>
      <c r="L75" s="22" t="s">
        <v>44</v>
      </c>
      <c r="M75" s="22" t="s">
        <v>45</v>
      </c>
      <c r="N75" s="22" t="s">
        <v>46</v>
      </c>
      <c r="O75" s="22" t="s">
        <v>47</v>
      </c>
      <c r="P75" s="22" t="s">
        <v>48</v>
      </c>
      <c r="Q75" s="22" t="s">
        <v>49</v>
      </c>
      <c r="R75" s="22" t="s">
        <v>50</v>
      </c>
      <c r="S75" s="22" t="s">
        <v>51</v>
      </c>
      <c r="T75" s="22" t="s">
        <v>52</v>
      </c>
      <c r="U75" s="22" t="s">
        <v>53</v>
      </c>
      <c r="V75" s="22" t="s">
        <v>54</v>
      </c>
      <c r="W75" s="22" t="s">
        <v>55</v>
      </c>
      <c r="X75" s="22" t="s">
        <v>56</v>
      </c>
      <c r="Y75" s="22" t="s">
        <v>57</v>
      </c>
      <c r="Z75" s="22" t="s">
        <v>58</v>
      </c>
      <c r="AA75" s="22" t="s">
        <v>59</v>
      </c>
      <c r="AB75" s="22" t="s">
        <v>60</v>
      </c>
      <c r="AC75" s="22" t="s">
        <v>61</v>
      </c>
      <c r="AD75" s="22" t="s">
        <v>62</v>
      </c>
      <c r="AE75" s="22" t="s">
        <v>63</v>
      </c>
    </row>
    <row r="76" spans="7:31">
      <c r="G76" s="20" t="s">
        <v>68</v>
      </c>
      <c r="H76" s="187">
        <f>H17</f>
        <v>0</v>
      </c>
      <c r="I76" s="187">
        <f t="shared" ref="I76:AE76" si="0">I17</f>
        <v>0</v>
      </c>
      <c r="J76" s="187">
        <f t="shared" si="0"/>
        <v>0</v>
      </c>
      <c r="K76" s="187">
        <f t="shared" si="0"/>
        <v>0</v>
      </c>
      <c r="L76" s="187">
        <f t="shared" si="0"/>
        <v>0</v>
      </c>
      <c r="M76" s="187">
        <f t="shared" si="0"/>
        <v>0</v>
      </c>
      <c r="N76" s="187">
        <f t="shared" si="0"/>
        <v>0</v>
      </c>
      <c r="O76" s="187">
        <f t="shared" si="0"/>
        <v>0</v>
      </c>
      <c r="P76" s="187">
        <f t="shared" si="0"/>
        <v>0</v>
      </c>
      <c r="Q76" s="187">
        <f t="shared" si="0"/>
        <v>0</v>
      </c>
      <c r="R76" s="187">
        <f t="shared" si="0"/>
        <v>0</v>
      </c>
      <c r="S76" s="187">
        <f t="shared" si="0"/>
        <v>0</v>
      </c>
      <c r="T76" s="187">
        <f t="shared" si="0"/>
        <v>0</v>
      </c>
      <c r="U76" s="187">
        <f t="shared" si="0"/>
        <v>0</v>
      </c>
      <c r="V76" s="187">
        <f t="shared" si="0"/>
        <v>0</v>
      </c>
      <c r="W76" s="187">
        <f t="shared" si="0"/>
        <v>0</v>
      </c>
      <c r="X76" s="187">
        <f t="shared" si="0"/>
        <v>0</v>
      </c>
      <c r="Y76" s="187">
        <f t="shared" si="0"/>
        <v>0</v>
      </c>
      <c r="Z76" s="187">
        <f t="shared" si="0"/>
        <v>0</v>
      </c>
      <c r="AA76" s="187">
        <f t="shared" si="0"/>
        <v>0</v>
      </c>
      <c r="AB76" s="187">
        <f t="shared" si="0"/>
        <v>0</v>
      </c>
      <c r="AC76" s="187">
        <f t="shared" si="0"/>
        <v>0</v>
      </c>
      <c r="AD76" s="187">
        <f t="shared" si="0"/>
        <v>0</v>
      </c>
      <c r="AE76" s="187">
        <f t="shared" si="0"/>
        <v>0</v>
      </c>
    </row>
    <row r="77" spans="7:31">
      <c r="G77" s="153" t="s">
        <v>69</v>
      </c>
      <c r="H77" s="187">
        <f>H31</f>
        <v>0</v>
      </c>
      <c r="I77" s="187">
        <f t="shared" ref="I77:AE77" si="1">I31</f>
        <v>0</v>
      </c>
      <c r="J77" s="187">
        <f t="shared" si="1"/>
        <v>0</v>
      </c>
      <c r="K77" s="187">
        <f t="shared" si="1"/>
        <v>0</v>
      </c>
      <c r="L77" s="187">
        <f t="shared" si="1"/>
        <v>0</v>
      </c>
      <c r="M77" s="187">
        <f t="shared" si="1"/>
        <v>0</v>
      </c>
      <c r="N77" s="187">
        <f t="shared" si="1"/>
        <v>0</v>
      </c>
      <c r="O77" s="187">
        <f t="shared" si="1"/>
        <v>0</v>
      </c>
      <c r="P77" s="187">
        <f t="shared" si="1"/>
        <v>0</v>
      </c>
      <c r="Q77" s="187">
        <f t="shared" si="1"/>
        <v>0</v>
      </c>
      <c r="R77" s="187">
        <f t="shared" si="1"/>
        <v>0</v>
      </c>
      <c r="S77" s="187">
        <f t="shared" si="1"/>
        <v>0</v>
      </c>
      <c r="T77" s="187">
        <f t="shared" si="1"/>
        <v>0</v>
      </c>
      <c r="U77" s="187">
        <f t="shared" si="1"/>
        <v>0</v>
      </c>
      <c r="V77" s="187">
        <f t="shared" si="1"/>
        <v>0</v>
      </c>
      <c r="W77" s="187">
        <f t="shared" si="1"/>
        <v>0</v>
      </c>
      <c r="X77" s="187">
        <f t="shared" si="1"/>
        <v>0</v>
      </c>
      <c r="Y77" s="187">
        <f t="shared" si="1"/>
        <v>0</v>
      </c>
      <c r="Z77" s="187">
        <f t="shared" si="1"/>
        <v>0</v>
      </c>
      <c r="AA77" s="187">
        <f t="shared" si="1"/>
        <v>0</v>
      </c>
      <c r="AB77" s="187">
        <f t="shared" si="1"/>
        <v>0</v>
      </c>
      <c r="AC77" s="187">
        <f t="shared" si="1"/>
        <v>0</v>
      </c>
      <c r="AD77" s="187">
        <f t="shared" si="1"/>
        <v>0</v>
      </c>
      <c r="AE77" s="187">
        <f t="shared" si="1"/>
        <v>0</v>
      </c>
    </row>
    <row r="78" spans="7:31">
      <c r="G78" s="20" t="s">
        <v>70</v>
      </c>
      <c r="H78" s="187">
        <f>H53</f>
        <v>0</v>
      </c>
      <c r="I78" s="187">
        <f t="shared" ref="I78:AE78" si="2">I53</f>
        <v>0</v>
      </c>
      <c r="J78" s="187">
        <f t="shared" si="2"/>
        <v>0</v>
      </c>
      <c r="K78" s="187">
        <f t="shared" si="2"/>
        <v>0</v>
      </c>
      <c r="L78" s="187">
        <f t="shared" si="2"/>
        <v>0</v>
      </c>
      <c r="M78" s="187">
        <f t="shared" si="2"/>
        <v>0</v>
      </c>
      <c r="N78" s="187">
        <f t="shared" si="2"/>
        <v>0</v>
      </c>
      <c r="O78" s="187">
        <f t="shared" si="2"/>
        <v>0</v>
      </c>
      <c r="P78" s="187">
        <f t="shared" si="2"/>
        <v>0</v>
      </c>
      <c r="Q78" s="187">
        <f t="shared" si="2"/>
        <v>0</v>
      </c>
      <c r="R78" s="187">
        <f t="shared" si="2"/>
        <v>0</v>
      </c>
      <c r="S78" s="187">
        <f t="shared" si="2"/>
        <v>0</v>
      </c>
      <c r="T78" s="187">
        <f t="shared" si="2"/>
        <v>0</v>
      </c>
      <c r="U78" s="187">
        <f t="shared" si="2"/>
        <v>0</v>
      </c>
      <c r="V78" s="187">
        <f t="shared" si="2"/>
        <v>0</v>
      </c>
      <c r="W78" s="187">
        <f t="shared" si="2"/>
        <v>0</v>
      </c>
      <c r="X78" s="187">
        <f t="shared" si="2"/>
        <v>0</v>
      </c>
      <c r="Y78" s="187">
        <f t="shared" si="2"/>
        <v>0</v>
      </c>
      <c r="Z78" s="187">
        <f t="shared" si="2"/>
        <v>0</v>
      </c>
      <c r="AA78" s="187">
        <f t="shared" si="2"/>
        <v>0</v>
      </c>
      <c r="AB78" s="187">
        <f t="shared" si="2"/>
        <v>0</v>
      </c>
      <c r="AC78" s="187">
        <f t="shared" si="2"/>
        <v>0</v>
      </c>
      <c r="AD78" s="187">
        <f t="shared" si="2"/>
        <v>0</v>
      </c>
      <c r="AE78" s="187">
        <f t="shared" si="2"/>
        <v>0</v>
      </c>
    </row>
    <row r="79" spans="7:31">
      <c r="G79" s="20" t="s">
        <v>71</v>
      </c>
      <c r="H79" s="187">
        <f>H64</f>
        <v>0</v>
      </c>
      <c r="I79" s="187">
        <f t="shared" ref="I79:AE79" si="3">I64</f>
        <v>0</v>
      </c>
      <c r="J79" s="187">
        <f t="shared" si="3"/>
        <v>0</v>
      </c>
      <c r="K79" s="187">
        <f t="shared" si="3"/>
        <v>0</v>
      </c>
      <c r="L79" s="187">
        <f t="shared" si="3"/>
        <v>0</v>
      </c>
      <c r="M79" s="187" t="e">
        <f t="shared" si="3"/>
        <v>#DIV/0!</v>
      </c>
      <c r="N79" s="187" t="e">
        <f t="shared" si="3"/>
        <v>#DIV/0!</v>
      </c>
      <c r="O79" s="187" t="e">
        <f t="shared" si="3"/>
        <v>#DIV/0!</v>
      </c>
      <c r="P79" s="187" t="e">
        <f t="shared" si="3"/>
        <v>#DIV/0!</v>
      </c>
      <c r="Q79" s="187" t="e">
        <f t="shared" si="3"/>
        <v>#DIV/0!</v>
      </c>
      <c r="R79" s="187" t="e">
        <f t="shared" si="3"/>
        <v>#DIV/0!</v>
      </c>
      <c r="S79" s="187" t="e">
        <f t="shared" si="3"/>
        <v>#DIV/0!</v>
      </c>
      <c r="T79" s="187" t="e">
        <f t="shared" si="3"/>
        <v>#DIV/0!</v>
      </c>
      <c r="U79" s="187" t="e">
        <f t="shared" si="3"/>
        <v>#DIV/0!</v>
      </c>
      <c r="V79" s="187" t="e">
        <f t="shared" si="3"/>
        <v>#DIV/0!</v>
      </c>
      <c r="W79" s="187" t="e">
        <f t="shared" si="3"/>
        <v>#DIV/0!</v>
      </c>
      <c r="X79" s="187" t="e">
        <f t="shared" si="3"/>
        <v>#DIV/0!</v>
      </c>
      <c r="Y79" s="187" t="e">
        <f t="shared" si="3"/>
        <v>#DIV/0!</v>
      </c>
      <c r="Z79" s="187">
        <f t="shared" si="3"/>
        <v>0</v>
      </c>
      <c r="AA79" s="187">
        <f t="shared" si="3"/>
        <v>0</v>
      </c>
      <c r="AB79" s="187">
        <f t="shared" si="3"/>
        <v>0</v>
      </c>
      <c r="AC79" s="187">
        <f t="shared" si="3"/>
        <v>0</v>
      </c>
      <c r="AD79" s="187">
        <f t="shared" si="3"/>
        <v>0</v>
      </c>
      <c r="AE79" s="187">
        <f t="shared" si="3"/>
        <v>0</v>
      </c>
    </row>
  </sheetData>
  <mergeCells count="5">
    <mergeCell ref="A20:B20"/>
    <mergeCell ref="B17:E17"/>
    <mergeCell ref="B18:E18"/>
    <mergeCell ref="B16:E16"/>
    <mergeCell ref="B9:E9"/>
  </mergeCells>
  <phoneticPr fontId="9" type="noConversion"/>
  <conditionalFormatting sqref="B1:E1048576 H1:AE1048576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horizontalDpi="0" verticalDpi="0" r:id="rId1"/>
  <ignoredErrors>
    <ignoredError sqref="B22" evalError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00B0F0"/>
  </sheetPr>
  <dimension ref="A1:Q291"/>
  <sheetViews>
    <sheetView view="pageBreakPreview" zoomScaleNormal="100" zoomScaleSheetLayoutView="100" workbookViewId="0">
      <pane ySplit="2" topLeftCell="A63" activePane="bottomLeft" state="frozen"/>
      <selection pane="bottomLeft" activeCell="C63" sqref="C63"/>
    </sheetView>
  </sheetViews>
  <sheetFormatPr defaultColWidth="9" defaultRowHeight="21"/>
  <cols>
    <col min="1" max="1" width="10.140625" style="192" customWidth="1"/>
    <col min="2" max="2" width="12.5703125" style="2" customWidth="1"/>
    <col min="3" max="8" width="23.140625" style="193" customWidth="1"/>
    <col min="9" max="9" width="24.5703125" style="193" customWidth="1"/>
    <col min="10" max="10" width="18.28515625" style="3" customWidth="1"/>
    <col min="11" max="11" width="17.5703125" style="3" customWidth="1"/>
    <col min="12" max="12" width="17.28515625" style="3" hidden="1" customWidth="1"/>
    <col min="13" max="13" width="9" style="3" hidden="1" customWidth="1"/>
    <col min="14" max="14" width="21.5703125" style="3" hidden="1" customWidth="1"/>
    <col min="15" max="15" width="9" style="3" hidden="1" customWidth="1"/>
    <col min="16" max="16" width="0" style="3" hidden="1" customWidth="1"/>
    <col min="17" max="16384" width="9" style="3"/>
  </cols>
  <sheetData>
    <row r="1" spans="1:16" s="31" customFormat="1" ht="25.5" customHeight="1">
      <c r="A1" s="282" t="s">
        <v>0</v>
      </c>
      <c r="B1" s="283" t="s">
        <v>1</v>
      </c>
      <c r="C1" s="280" t="s">
        <v>807</v>
      </c>
      <c r="D1" s="280" t="s">
        <v>780</v>
      </c>
      <c r="E1" s="280" t="s">
        <v>806</v>
      </c>
      <c r="F1" s="280" t="s">
        <v>808</v>
      </c>
      <c r="G1" s="284" t="s">
        <v>817</v>
      </c>
      <c r="H1" s="284" t="s">
        <v>809</v>
      </c>
      <c r="I1" s="284" t="s">
        <v>810</v>
      </c>
      <c r="J1" s="281" t="s">
        <v>429</v>
      </c>
      <c r="K1" s="281"/>
    </row>
    <row r="2" spans="1:16" s="7" customFormat="1" ht="25.5" customHeight="1">
      <c r="A2" s="282"/>
      <c r="B2" s="283"/>
      <c r="C2" s="280"/>
      <c r="D2" s="280"/>
      <c r="E2" s="280"/>
      <c r="F2" s="280"/>
      <c r="G2" s="284"/>
      <c r="H2" s="284"/>
      <c r="I2" s="284"/>
      <c r="J2" s="37" t="s">
        <v>138</v>
      </c>
      <c r="K2" s="37" t="s">
        <v>139</v>
      </c>
    </row>
    <row r="3" spans="1:16" ht="25.5" hidden="1" customHeight="1">
      <c r="A3" s="287" t="s">
        <v>2</v>
      </c>
      <c r="B3" s="195">
        <v>3.472222222222222E-3</v>
      </c>
      <c r="C3" s="196">
        <v>0</v>
      </c>
      <c r="D3" s="196">
        <v>0</v>
      </c>
      <c r="E3" s="196">
        <v>0</v>
      </c>
      <c r="F3" s="196">
        <v>0</v>
      </c>
      <c r="G3" s="194">
        <f>C3/12</f>
        <v>0</v>
      </c>
      <c r="H3" s="194">
        <f>D3/12</f>
        <v>0</v>
      </c>
      <c r="I3" s="194">
        <f>E3/12</f>
        <v>0</v>
      </c>
      <c r="J3" s="38">
        <f>MQ!AD3</f>
        <v>0</v>
      </c>
      <c r="K3" s="38">
        <f>MQ!AE3</f>
        <v>0</v>
      </c>
      <c r="N3" s="23" t="s">
        <v>74</v>
      </c>
    </row>
    <row r="4" spans="1:16" ht="25.5" hidden="1" customHeight="1">
      <c r="A4" s="287"/>
      <c r="B4" s="195">
        <v>6.9444444444444441E-3</v>
      </c>
      <c r="C4" s="196">
        <v>0</v>
      </c>
      <c r="D4" s="196">
        <v>0</v>
      </c>
      <c r="E4" s="196">
        <v>0</v>
      </c>
      <c r="F4" s="196">
        <v>0</v>
      </c>
      <c r="G4" s="194">
        <f t="shared" ref="G4:G67" si="0">C4/12</f>
        <v>0</v>
      </c>
      <c r="H4" s="194">
        <f t="shared" ref="H4:H67" si="1">D4/12</f>
        <v>0</v>
      </c>
      <c r="I4" s="194">
        <f t="shared" ref="I4:I35" si="2">E4/12</f>
        <v>0</v>
      </c>
      <c r="J4" s="38">
        <f>MQ!AD4</f>
        <v>0</v>
      </c>
      <c r="K4" s="38">
        <f>MQ!AE4</f>
        <v>0</v>
      </c>
      <c r="N4" s="5" t="s">
        <v>76</v>
      </c>
      <c r="O4" s="5">
        <v>1</v>
      </c>
    </row>
    <row r="5" spans="1:16" ht="25.5" hidden="1" customHeight="1">
      <c r="A5" s="287"/>
      <c r="B5" s="195">
        <v>1.0416666666666666E-2</v>
      </c>
      <c r="C5" s="196">
        <v>0</v>
      </c>
      <c r="D5" s="196">
        <v>0</v>
      </c>
      <c r="E5" s="196">
        <v>0</v>
      </c>
      <c r="F5" s="196">
        <v>0</v>
      </c>
      <c r="G5" s="194">
        <f t="shared" si="0"/>
        <v>0</v>
      </c>
      <c r="H5" s="194">
        <f t="shared" si="1"/>
        <v>0</v>
      </c>
      <c r="I5" s="194">
        <f t="shared" si="2"/>
        <v>0</v>
      </c>
      <c r="J5" s="38">
        <f>MQ!AD5</f>
        <v>0</v>
      </c>
      <c r="K5" s="38">
        <f>MQ!AE5</f>
        <v>0</v>
      </c>
      <c r="N5" s="5" t="s">
        <v>77</v>
      </c>
      <c r="O5" s="5">
        <v>2</v>
      </c>
    </row>
    <row r="6" spans="1:16" ht="25.5" hidden="1" customHeight="1">
      <c r="A6" s="287"/>
      <c r="B6" s="195">
        <v>1.3888888888888888E-2</v>
      </c>
      <c r="C6" s="196">
        <v>0</v>
      </c>
      <c r="D6" s="196">
        <v>0</v>
      </c>
      <c r="E6" s="196">
        <v>0</v>
      </c>
      <c r="F6" s="196">
        <v>0</v>
      </c>
      <c r="G6" s="194">
        <f t="shared" si="0"/>
        <v>0</v>
      </c>
      <c r="H6" s="194">
        <f t="shared" si="1"/>
        <v>0</v>
      </c>
      <c r="I6" s="194">
        <f t="shared" si="2"/>
        <v>0</v>
      </c>
      <c r="J6" s="38">
        <f>MQ!AD6</f>
        <v>0</v>
      </c>
      <c r="K6" s="38">
        <f>MQ!AE6</f>
        <v>0</v>
      </c>
      <c r="N6" s="5" t="s">
        <v>78</v>
      </c>
      <c r="O6" s="5">
        <v>3</v>
      </c>
    </row>
    <row r="7" spans="1:16" ht="26.25" hidden="1" customHeight="1">
      <c r="A7" s="287"/>
      <c r="B7" s="195">
        <v>1.7361111111111112E-2</v>
      </c>
      <c r="C7" s="196">
        <v>0</v>
      </c>
      <c r="D7" s="196">
        <v>0</v>
      </c>
      <c r="E7" s="196">
        <v>0</v>
      </c>
      <c r="F7" s="196">
        <v>0</v>
      </c>
      <c r="G7" s="194">
        <f t="shared" si="0"/>
        <v>0</v>
      </c>
      <c r="H7" s="194">
        <f t="shared" si="1"/>
        <v>0</v>
      </c>
      <c r="I7" s="194">
        <f t="shared" si="2"/>
        <v>0</v>
      </c>
      <c r="J7" s="38">
        <f>MQ!AD7</f>
        <v>0</v>
      </c>
      <c r="K7" s="38">
        <f>MQ!AE7</f>
        <v>0</v>
      </c>
      <c r="N7" s="5" t="s">
        <v>79</v>
      </c>
      <c r="O7" s="5">
        <v>4</v>
      </c>
      <c r="P7" s="26"/>
    </row>
    <row r="8" spans="1:16" ht="26.25" hidden="1" customHeight="1">
      <c r="A8" s="287"/>
      <c r="B8" s="195">
        <v>2.0833333333333332E-2</v>
      </c>
      <c r="C8" s="196">
        <v>0</v>
      </c>
      <c r="D8" s="196">
        <v>0</v>
      </c>
      <c r="E8" s="196">
        <v>0</v>
      </c>
      <c r="F8" s="196">
        <v>0</v>
      </c>
      <c r="G8" s="194">
        <f t="shared" si="0"/>
        <v>0</v>
      </c>
      <c r="H8" s="194">
        <f t="shared" si="1"/>
        <v>0</v>
      </c>
      <c r="I8" s="194">
        <f t="shared" si="2"/>
        <v>0</v>
      </c>
      <c r="J8" s="38">
        <f>MQ!AD8</f>
        <v>0</v>
      </c>
      <c r="K8" s="38">
        <f>MQ!AE8</f>
        <v>0</v>
      </c>
      <c r="N8" s="5" t="s">
        <v>80</v>
      </c>
      <c r="O8" s="5">
        <v>5</v>
      </c>
    </row>
    <row r="9" spans="1:16" ht="26.25" hidden="1" customHeight="1">
      <c r="A9" s="287"/>
      <c r="B9" s="195">
        <v>2.4305555555555556E-2</v>
      </c>
      <c r="C9" s="196">
        <v>0</v>
      </c>
      <c r="D9" s="196">
        <v>0</v>
      </c>
      <c r="E9" s="196">
        <v>0</v>
      </c>
      <c r="F9" s="196">
        <v>0</v>
      </c>
      <c r="G9" s="194">
        <f t="shared" si="0"/>
        <v>0</v>
      </c>
      <c r="H9" s="194">
        <f t="shared" si="1"/>
        <v>0</v>
      </c>
      <c r="I9" s="194">
        <f t="shared" si="2"/>
        <v>0</v>
      </c>
      <c r="J9" s="38">
        <f>MQ!AD9</f>
        <v>0</v>
      </c>
      <c r="K9" s="38">
        <f>MQ!AE9</f>
        <v>0</v>
      </c>
      <c r="N9" s="5" t="s">
        <v>81</v>
      </c>
      <c r="O9" s="5">
        <v>6</v>
      </c>
    </row>
    <row r="10" spans="1:16" ht="26.25" hidden="1" customHeight="1">
      <c r="A10" s="287"/>
      <c r="B10" s="195">
        <v>2.7777777777777776E-2</v>
      </c>
      <c r="C10" s="196">
        <v>0</v>
      </c>
      <c r="D10" s="196">
        <v>0</v>
      </c>
      <c r="E10" s="196">
        <v>0</v>
      </c>
      <c r="F10" s="196">
        <v>0</v>
      </c>
      <c r="G10" s="194">
        <f t="shared" si="0"/>
        <v>0</v>
      </c>
      <c r="H10" s="194">
        <f t="shared" si="1"/>
        <v>0</v>
      </c>
      <c r="I10" s="194">
        <f t="shared" si="2"/>
        <v>0</v>
      </c>
      <c r="J10" s="38">
        <f>MQ!AD10</f>
        <v>0</v>
      </c>
      <c r="K10" s="38">
        <f>MQ!AE10</f>
        <v>0</v>
      </c>
    </row>
    <row r="11" spans="1:16" ht="26.25" hidden="1" customHeight="1">
      <c r="A11" s="287"/>
      <c r="B11" s="195">
        <v>3.125E-2</v>
      </c>
      <c r="C11" s="196">
        <v>0</v>
      </c>
      <c r="D11" s="196">
        <v>0</v>
      </c>
      <c r="E11" s="196">
        <v>0</v>
      </c>
      <c r="F11" s="196">
        <v>0</v>
      </c>
      <c r="G11" s="194">
        <f t="shared" si="0"/>
        <v>0</v>
      </c>
      <c r="H11" s="194">
        <f t="shared" si="1"/>
        <v>0</v>
      </c>
      <c r="I11" s="194">
        <f t="shared" si="2"/>
        <v>0</v>
      </c>
      <c r="J11" s="38">
        <f>MQ!AD11</f>
        <v>0</v>
      </c>
      <c r="K11" s="38">
        <f>MQ!AE11</f>
        <v>0</v>
      </c>
      <c r="M11" s="5" t="s">
        <v>82</v>
      </c>
      <c r="N11" s="5" t="e">
        <f>#REF!</f>
        <v>#REF!</v>
      </c>
      <c r="O11" s="5" t="e">
        <f>VLOOKUP(N11,$N$4:$O$9,2,FALSE)</f>
        <v>#REF!</v>
      </c>
    </row>
    <row r="12" spans="1:16" ht="26.25" hidden="1" customHeight="1">
      <c r="A12" s="287"/>
      <c r="B12" s="195">
        <v>3.4722222222222224E-2</v>
      </c>
      <c r="C12" s="196">
        <v>0</v>
      </c>
      <c r="D12" s="196">
        <v>0</v>
      </c>
      <c r="E12" s="196">
        <v>0</v>
      </c>
      <c r="F12" s="196">
        <v>0</v>
      </c>
      <c r="G12" s="194">
        <f t="shared" si="0"/>
        <v>0</v>
      </c>
      <c r="H12" s="194">
        <f t="shared" si="1"/>
        <v>0</v>
      </c>
      <c r="I12" s="194">
        <f t="shared" si="2"/>
        <v>0</v>
      </c>
      <c r="J12" s="38">
        <f>MQ!AD12</f>
        <v>0</v>
      </c>
      <c r="K12" s="38">
        <f>MQ!AE12</f>
        <v>0</v>
      </c>
      <c r="M12" s="5" t="s">
        <v>83</v>
      </c>
      <c r="N12" s="5" t="e">
        <f>#REF!</f>
        <v>#REF!</v>
      </c>
      <c r="O12" s="5" t="e">
        <f t="shared" ref="O12:O34" si="3">VLOOKUP(N12,$N$4:$O$9,2,FALSE)</f>
        <v>#REF!</v>
      </c>
    </row>
    <row r="13" spans="1:16" ht="26.25" hidden="1" customHeight="1">
      <c r="A13" s="287"/>
      <c r="B13" s="195">
        <v>3.8194444444444441E-2</v>
      </c>
      <c r="C13" s="196">
        <v>0</v>
      </c>
      <c r="D13" s="196">
        <v>0</v>
      </c>
      <c r="E13" s="196">
        <v>0</v>
      </c>
      <c r="F13" s="196">
        <v>0</v>
      </c>
      <c r="G13" s="194">
        <f t="shared" si="0"/>
        <v>0</v>
      </c>
      <c r="H13" s="194">
        <f t="shared" si="1"/>
        <v>0</v>
      </c>
      <c r="I13" s="194">
        <f t="shared" si="2"/>
        <v>0</v>
      </c>
      <c r="J13" s="38">
        <f>MQ!AD13</f>
        <v>0</v>
      </c>
      <c r="K13" s="38">
        <f>MQ!AE13</f>
        <v>0</v>
      </c>
      <c r="M13" s="5" t="s">
        <v>84</v>
      </c>
      <c r="N13" s="5" t="e">
        <f>#REF!</f>
        <v>#REF!</v>
      </c>
      <c r="O13" s="5" t="e">
        <f t="shared" si="3"/>
        <v>#REF!</v>
      </c>
    </row>
    <row r="14" spans="1:16" ht="26.25" hidden="1" customHeight="1">
      <c r="A14" s="287"/>
      <c r="B14" s="195">
        <v>4.1666666666666664E-2</v>
      </c>
      <c r="C14" s="196">
        <v>0</v>
      </c>
      <c r="D14" s="196">
        <v>0</v>
      </c>
      <c r="E14" s="196">
        <v>0</v>
      </c>
      <c r="F14" s="196">
        <v>0</v>
      </c>
      <c r="G14" s="194">
        <f t="shared" si="0"/>
        <v>0</v>
      </c>
      <c r="H14" s="194">
        <f t="shared" si="1"/>
        <v>0</v>
      </c>
      <c r="I14" s="194">
        <f t="shared" si="2"/>
        <v>0</v>
      </c>
      <c r="J14" s="38">
        <f>MQ!AD14</f>
        <v>0</v>
      </c>
      <c r="K14" s="38">
        <f>MQ!AE14</f>
        <v>0</v>
      </c>
      <c r="M14" s="5" t="s">
        <v>43</v>
      </c>
      <c r="N14" s="5" t="e">
        <f>#REF!</f>
        <v>#REF!</v>
      </c>
      <c r="O14" s="5" t="e">
        <f t="shared" si="3"/>
        <v>#REF!</v>
      </c>
    </row>
    <row r="15" spans="1:16" ht="26.25" hidden="1" customHeight="1">
      <c r="A15" s="286" t="s">
        <v>3</v>
      </c>
      <c r="B15" s="197">
        <v>4.5138888888888902E-2</v>
      </c>
      <c r="C15" s="198">
        <v>0</v>
      </c>
      <c r="D15" s="198">
        <v>0</v>
      </c>
      <c r="E15" s="198">
        <v>0</v>
      </c>
      <c r="F15" s="198">
        <v>0</v>
      </c>
      <c r="G15" s="194">
        <f t="shared" si="0"/>
        <v>0</v>
      </c>
      <c r="H15" s="194">
        <f t="shared" si="1"/>
        <v>0</v>
      </c>
      <c r="I15" s="194">
        <f t="shared" si="2"/>
        <v>0</v>
      </c>
      <c r="J15" s="38">
        <f>MQ!AD15</f>
        <v>0</v>
      </c>
      <c r="K15" s="38">
        <f>MQ!AE15</f>
        <v>0</v>
      </c>
      <c r="M15" s="5" t="s">
        <v>44</v>
      </c>
      <c r="N15" s="5" t="e">
        <f>#REF!</f>
        <v>#REF!</v>
      </c>
      <c r="O15" s="5" t="e">
        <f t="shared" si="3"/>
        <v>#REF!</v>
      </c>
    </row>
    <row r="16" spans="1:16" ht="26.25" hidden="1" customHeight="1">
      <c r="A16" s="286"/>
      <c r="B16" s="197">
        <v>4.8611111111111098E-2</v>
      </c>
      <c r="C16" s="198">
        <v>0</v>
      </c>
      <c r="D16" s="198">
        <v>0</v>
      </c>
      <c r="E16" s="198">
        <v>0</v>
      </c>
      <c r="F16" s="198">
        <v>0</v>
      </c>
      <c r="G16" s="194">
        <f t="shared" si="0"/>
        <v>0</v>
      </c>
      <c r="H16" s="194">
        <f t="shared" si="1"/>
        <v>0</v>
      </c>
      <c r="I16" s="194">
        <f t="shared" si="2"/>
        <v>0</v>
      </c>
      <c r="J16" s="38">
        <f>MQ!AD16</f>
        <v>0</v>
      </c>
      <c r="K16" s="38">
        <f>MQ!AE16</f>
        <v>0</v>
      </c>
      <c r="M16" s="5" t="s">
        <v>45</v>
      </c>
      <c r="N16" s="5" t="e">
        <f>#REF!</f>
        <v>#REF!</v>
      </c>
      <c r="O16" s="5" t="e">
        <f t="shared" si="3"/>
        <v>#REF!</v>
      </c>
    </row>
    <row r="17" spans="1:15" ht="26.25" hidden="1" customHeight="1">
      <c r="A17" s="286"/>
      <c r="B17" s="197">
        <v>5.2083333333333301E-2</v>
      </c>
      <c r="C17" s="198">
        <v>0</v>
      </c>
      <c r="D17" s="198">
        <v>0</v>
      </c>
      <c r="E17" s="198">
        <v>0</v>
      </c>
      <c r="F17" s="198">
        <v>0</v>
      </c>
      <c r="G17" s="194">
        <f t="shared" si="0"/>
        <v>0</v>
      </c>
      <c r="H17" s="194">
        <f t="shared" si="1"/>
        <v>0</v>
      </c>
      <c r="I17" s="194">
        <f t="shared" si="2"/>
        <v>0</v>
      </c>
      <c r="J17" s="38">
        <f>MQ!AD17</f>
        <v>0</v>
      </c>
      <c r="K17" s="38">
        <f>MQ!AE17</f>
        <v>0</v>
      </c>
      <c r="M17" s="5" t="s">
        <v>46</v>
      </c>
      <c r="N17" s="5" t="e">
        <f>#REF!</f>
        <v>#REF!</v>
      </c>
      <c r="O17" s="5" t="e">
        <f t="shared" si="3"/>
        <v>#REF!</v>
      </c>
    </row>
    <row r="18" spans="1:15" ht="26.25" hidden="1" customHeight="1">
      <c r="A18" s="286"/>
      <c r="B18" s="197">
        <v>5.5555555555555497E-2</v>
      </c>
      <c r="C18" s="198">
        <v>0</v>
      </c>
      <c r="D18" s="198">
        <v>0</v>
      </c>
      <c r="E18" s="198">
        <v>0</v>
      </c>
      <c r="F18" s="198">
        <v>0</v>
      </c>
      <c r="G18" s="194">
        <f t="shared" si="0"/>
        <v>0</v>
      </c>
      <c r="H18" s="194">
        <f t="shared" si="1"/>
        <v>0</v>
      </c>
      <c r="I18" s="194">
        <f t="shared" si="2"/>
        <v>0</v>
      </c>
      <c r="J18" s="38">
        <f>MQ!AD18</f>
        <v>0</v>
      </c>
      <c r="K18" s="38">
        <f>MQ!AE18</f>
        <v>0</v>
      </c>
      <c r="M18" s="5" t="s">
        <v>47</v>
      </c>
      <c r="N18" s="5" t="e">
        <f>#REF!</f>
        <v>#REF!</v>
      </c>
      <c r="O18" s="5" t="e">
        <f t="shared" si="3"/>
        <v>#REF!</v>
      </c>
    </row>
    <row r="19" spans="1:15" ht="26.25" hidden="1" customHeight="1">
      <c r="A19" s="286"/>
      <c r="B19" s="197">
        <v>5.9027777777777797E-2</v>
      </c>
      <c r="C19" s="198">
        <v>0</v>
      </c>
      <c r="D19" s="198">
        <v>0</v>
      </c>
      <c r="E19" s="198">
        <v>0</v>
      </c>
      <c r="F19" s="198">
        <v>0</v>
      </c>
      <c r="G19" s="194">
        <f t="shared" si="0"/>
        <v>0</v>
      </c>
      <c r="H19" s="194">
        <f t="shared" si="1"/>
        <v>0</v>
      </c>
      <c r="I19" s="194">
        <f t="shared" si="2"/>
        <v>0</v>
      </c>
      <c r="J19" s="38">
        <f>MQ!AD19</f>
        <v>0</v>
      </c>
      <c r="K19" s="38">
        <f>MQ!AE19</f>
        <v>0</v>
      </c>
      <c r="M19" s="5" t="s">
        <v>48</v>
      </c>
      <c r="N19" s="5" t="e">
        <f>#REF!</f>
        <v>#REF!</v>
      </c>
      <c r="O19" s="5" t="e">
        <f t="shared" si="3"/>
        <v>#REF!</v>
      </c>
    </row>
    <row r="20" spans="1:15" ht="26.25" hidden="1" customHeight="1">
      <c r="A20" s="286"/>
      <c r="B20" s="197">
        <v>6.25E-2</v>
      </c>
      <c r="C20" s="198">
        <v>0</v>
      </c>
      <c r="D20" s="198">
        <v>0</v>
      </c>
      <c r="E20" s="198">
        <v>0</v>
      </c>
      <c r="F20" s="198">
        <v>0</v>
      </c>
      <c r="G20" s="194">
        <f t="shared" si="0"/>
        <v>0</v>
      </c>
      <c r="H20" s="194">
        <f t="shared" si="1"/>
        <v>0</v>
      </c>
      <c r="I20" s="194">
        <f t="shared" si="2"/>
        <v>0</v>
      </c>
      <c r="J20" s="38">
        <f>MQ!AD20</f>
        <v>0</v>
      </c>
      <c r="K20" s="38">
        <f>MQ!AE20</f>
        <v>0</v>
      </c>
      <c r="M20" s="5" t="s">
        <v>49</v>
      </c>
      <c r="N20" s="5" t="e">
        <f>#REF!</f>
        <v>#REF!</v>
      </c>
      <c r="O20" s="5" t="e">
        <f t="shared" si="3"/>
        <v>#REF!</v>
      </c>
    </row>
    <row r="21" spans="1:15" ht="26.25" hidden="1" customHeight="1">
      <c r="A21" s="286"/>
      <c r="B21" s="197">
        <v>6.5972222222222196E-2</v>
      </c>
      <c r="C21" s="198">
        <v>0</v>
      </c>
      <c r="D21" s="198">
        <v>0</v>
      </c>
      <c r="E21" s="198">
        <v>0</v>
      </c>
      <c r="F21" s="198">
        <v>0</v>
      </c>
      <c r="G21" s="194">
        <f t="shared" si="0"/>
        <v>0</v>
      </c>
      <c r="H21" s="194">
        <f t="shared" si="1"/>
        <v>0</v>
      </c>
      <c r="I21" s="194">
        <f t="shared" si="2"/>
        <v>0</v>
      </c>
      <c r="J21" s="38">
        <f>MQ!AD21</f>
        <v>0</v>
      </c>
      <c r="K21" s="38">
        <f>MQ!AE21</f>
        <v>0</v>
      </c>
      <c r="M21" s="5" t="s">
        <v>50</v>
      </c>
      <c r="N21" s="5" t="e">
        <f>#REF!</f>
        <v>#REF!</v>
      </c>
      <c r="O21" s="5" t="e">
        <f t="shared" si="3"/>
        <v>#REF!</v>
      </c>
    </row>
    <row r="22" spans="1:15" ht="26.25" hidden="1" customHeight="1">
      <c r="A22" s="286"/>
      <c r="B22" s="197">
        <v>6.9444444444444406E-2</v>
      </c>
      <c r="C22" s="198">
        <v>0</v>
      </c>
      <c r="D22" s="198">
        <v>0</v>
      </c>
      <c r="E22" s="198">
        <v>0</v>
      </c>
      <c r="F22" s="198">
        <v>0</v>
      </c>
      <c r="G22" s="194">
        <f t="shared" si="0"/>
        <v>0</v>
      </c>
      <c r="H22" s="194">
        <f t="shared" si="1"/>
        <v>0</v>
      </c>
      <c r="I22" s="194">
        <f t="shared" si="2"/>
        <v>0</v>
      </c>
      <c r="J22" s="38">
        <f>MQ!AD22</f>
        <v>0</v>
      </c>
      <c r="K22" s="38">
        <f>MQ!AE22</f>
        <v>0</v>
      </c>
      <c r="M22" s="5" t="s">
        <v>51</v>
      </c>
      <c r="N22" s="5" t="e">
        <f>#REF!</f>
        <v>#REF!</v>
      </c>
      <c r="O22" s="5" t="e">
        <f t="shared" si="3"/>
        <v>#REF!</v>
      </c>
    </row>
    <row r="23" spans="1:15" ht="26.25" hidden="1" customHeight="1">
      <c r="A23" s="286"/>
      <c r="B23" s="197">
        <v>7.2916666666666602E-2</v>
      </c>
      <c r="C23" s="198">
        <v>0</v>
      </c>
      <c r="D23" s="198">
        <v>0</v>
      </c>
      <c r="E23" s="198">
        <v>0</v>
      </c>
      <c r="F23" s="198">
        <v>0</v>
      </c>
      <c r="G23" s="194">
        <f t="shared" si="0"/>
        <v>0</v>
      </c>
      <c r="H23" s="194">
        <f t="shared" si="1"/>
        <v>0</v>
      </c>
      <c r="I23" s="194">
        <f t="shared" si="2"/>
        <v>0</v>
      </c>
      <c r="J23" s="38">
        <f>MQ!AD23</f>
        <v>0</v>
      </c>
      <c r="K23" s="38">
        <f>MQ!AE23</f>
        <v>0</v>
      </c>
      <c r="M23" s="5" t="s">
        <v>52</v>
      </c>
      <c r="N23" s="5" t="e">
        <f>#REF!</f>
        <v>#REF!</v>
      </c>
      <c r="O23" s="5" t="e">
        <f t="shared" si="3"/>
        <v>#REF!</v>
      </c>
    </row>
    <row r="24" spans="1:15" ht="26.25" hidden="1" customHeight="1">
      <c r="A24" s="286"/>
      <c r="B24" s="197">
        <v>7.6388888888888895E-2</v>
      </c>
      <c r="C24" s="198">
        <v>0</v>
      </c>
      <c r="D24" s="198">
        <v>0</v>
      </c>
      <c r="E24" s="198">
        <v>0</v>
      </c>
      <c r="F24" s="198">
        <v>0</v>
      </c>
      <c r="G24" s="194">
        <f t="shared" si="0"/>
        <v>0</v>
      </c>
      <c r="H24" s="194">
        <f t="shared" si="1"/>
        <v>0</v>
      </c>
      <c r="I24" s="194">
        <f t="shared" si="2"/>
        <v>0</v>
      </c>
      <c r="J24" s="38">
        <f>MQ!AD24</f>
        <v>0</v>
      </c>
      <c r="K24" s="38">
        <f>MQ!AE24</f>
        <v>0</v>
      </c>
      <c r="M24" s="5" t="s">
        <v>53</v>
      </c>
      <c r="N24" s="5" t="e">
        <f>#REF!</f>
        <v>#REF!</v>
      </c>
      <c r="O24" s="5" t="e">
        <f t="shared" si="3"/>
        <v>#REF!</v>
      </c>
    </row>
    <row r="25" spans="1:15" ht="26.25" hidden="1" customHeight="1">
      <c r="A25" s="286"/>
      <c r="B25" s="197">
        <v>7.9861111111111105E-2</v>
      </c>
      <c r="C25" s="198">
        <v>0</v>
      </c>
      <c r="D25" s="198">
        <v>0</v>
      </c>
      <c r="E25" s="198">
        <v>0</v>
      </c>
      <c r="F25" s="198">
        <v>0</v>
      </c>
      <c r="G25" s="194">
        <f t="shared" si="0"/>
        <v>0</v>
      </c>
      <c r="H25" s="194">
        <f t="shared" si="1"/>
        <v>0</v>
      </c>
      <c r="I25" s="194">
        <f t="shared" si="2"/>
        <v>0</v>
      </c>
      <c r="J25" s="38">
        <f>MQ!AD25</f>
        <v>0</v>
      </c>
      <c r="K25" s="38">
        <f>MQ!AE25</f>
        <v>0</v>
      </c>
      <c r="M25" s="5" t="s">
        <v>54</v>
      </c>
      <c r="N25" s="5" t="e">
        <f>#REF!</f>
        <v>#REF!</v>
      </c>
      <c r="O25" s="5" t="e">
        <f t="shared" si="3"/>
        <v>#REF!</v>
      </c>
    </row>
    <row r="26" spans="1:15" ht="26.25" hidden="1" customHeight="1">
      <c r="A26" s="286"/>
      <c r="B26" s="197">
        <v>8.3333333333333301E-2</v>
      </c>
      <c r="C26" s="198">
        <v>0</v>
      </c>
      <c r="D26" s="198">
        <v>0</v>
      </c>
      <c r="E26" s="198">
        <v>0</v>
      </c>
      <c r="F26" s="198">
        <v>0</v>
      </c>
      <c r="G26" s="194">
        <f t="shared" si="0"/>
        <v>0</v>
      </c>
      <c r="H26" s="194">
        <f t="shared" si="1"/>
        <v>0</v>
      </c>
      <c r="I26" s="194">
        <f t="shared" si="2"/>
        <v>0</v>
      </c>
      <c r="J26" s="38">
        <f>MQ!AD26</f>
        <v>0</v>
      </c>
      <c r="K26" s="38">
        <f>MQ!AE26</f>
        <v>0</v>
      </c>
      <c r="M26" s="5" t="s">
        <v>55</v>
      </c>
      <c r="N26" s="5" t="e">
        <f>#REF!</f>
        <v>#REF!</v>
      </c>
      <c r="O26" s="5" t="e">
        <f t="shared" si="3"/>
        <v>#REF!</v>
      </c>
    </row>
    <row r="27" spans="1:15" ht="26.25" hidden="1" customHeight="1">
      <c r="A27" s="288" t="s">
        <v>4</v>
      </c>
      <c r="B27" s="195">
        <v>8.6805555555555497E-2</v>
      </c>
      <c r="C27" s="196">
        <v>0</v>
      </c>
      <c r="D27" s="196">
        <v>0</v>
      </c>
      <c r="E27" s="196">
        <v>0</v>
      </c>
      <c r="F27" s="196">
        <v>0</v>
      </c>
      <c r="G27" s="194">
        <f t="shared" si="0"/>
        <v>0</v>
      </c>
      <c r="H27" s="194">
        <f t="shared" si="1"/>
        <v>0</v>
      </c>
      <c r="I27" s="194">
        <f t="shared" si="2"/>
        <v>0</v>
      </c>
      <c r="J27" s="38">
        <f>MQ!AD27</f>
        <v>0</v>
      </c>
      <c r="K27" s="38">
        <f>MQ!AE27</f>
        <v>0</v>
      </c>
      <c r="M27" s="5" t="s">
        <v>56</v>
      </c>
      <c r="N27" s="5" t="e">
        <f>#REF!</f>
        <v>#REF!</v>
      </c>
      <c r="O27" s="5" t="e">
        <f t="shared" si="3"/>
        <v>#REF!</v>
      </c>
    </row>
    <row r="28" spans="1:15" ht="26.25" hidden="1" customHeight="1">
      <c r="A28" s="288"/>
      <c r="B28" s="195">
        <v>9.0277777777777804E-2</v>
      </c>
      <c r="C28" s="196">
        <v>0</v>
      </c>
      <c r="D28" s="196">
        <v>0</v>
      </c>
      <c r="E28" s="196">
        <v>0</v>
      </c>
      <c r="F28" s="196">
        <v>0</v>
      </c>
      <c r="G28" s="194">
        <f t="shared" si="0"/>
        <v>0</v>
      </c>
      <c r="H28" s="194">
        <f t="shared" si="1"/>
        <v>0</v>
      </c>
      <c r="I28" s="194">
        <f t="shared" si="2"/>
        <v>0</v>
      </c>
      <c r="J28" s="38">
        <f>MQ!AD28</f>
        <v>0</v>
      </c>
      <c r="K28" s="38">
        <f>MQ!AE28</f>
        <v>0</v>
      </c>
      <c r="M28" s="5" t="s">
        <v>57</v>
      </c>
      <c r="N28" s="5" t="e">
        <f>#REF!</f>
        <v>#REF!</v>
      </c>
      <c r="O28" s="5" t="e">
        <f t="shared" si="3"/>
        <v>#REF!</v>
      </c>
    </row>
    <row r="29" spans="1:15" ht="26.25" hidden="1" customHeight="1">
      <c r="A29" s="288"/>
      <c r="B29" s="195">
        <v>9.375E-2</v>
      </c>
      <c r="C29" s="196">
        <v>0</v>
      </c>
      <c r="D29" s="196">
        <v>0</v>
      </c>
      <c r="E29" s="196">
        <v>0</v>
      </c>
      <c r="F29" s="196">
        <v>0</v>
      </c>
      <c r="G29" s="194">
        <f t="shared" si="0"/>
        <v>0</v>
      </c>
      <c r="H29" s="194">
        <f t="shared" si="1"/>
        <v>0</v>
      </c>
      <c r="I29" s="194">
        <f t="shared" si="2"/>
        <v>0</v>
      </c>
      <c r="J29" s="38">
        <f>MQ!AD29</f>
        <v>0</v>
      </c>
      <c r="K29" s="38">
        <f>MQ!AE29</f>
        <v>0</v>
      </c>
      <c r="M29" s="5" t="s">
        <v>58</v>
      </c>
      <c r="N29" s="5" t="e">
        <f>#REF!</f>
        <v>#REF!</v>
      </c>
      <c r="O29" s="5" t="e">
        <f t="shared" si="3"/>
        <v>#REF!</v>
      </c>
    </row>
    <row r="30" spans="1:15" ht="26.25" hidden="1" customHeight="1">
      <c r="A30" s="288"/>
      <c r="B30" s="195">
        <v>9.7222222222222196E-2</v>
      </c>
      <c r="C30" s="196">
        <v>0</v>
      </c>
      <c r="D30" s="196">
        <v>0</v>
      </c>
      <c r="E30" s="196">
        <v>0</v>
      </c>
      <c r="F30" s="196">
        <v>0</v>
      </c>
      <c r="G30" s="194">
        <f t="shared" si="0"/>
        <v>0</v>
      </c>
      <c r="H30" s="194">
        <f t="shared" si="1"/>
        <v>0</v>
      </c>
      <c r="I30" s="194">
        <f t="shared" si="2"/>
        <v>0</v>
      </c>
      <c r="J30" s="38">
        <f>MQ!AD30</f>
        <v>0</v>
      </c>
      <c r="K30" s="38">
        <f>MQ!AE30</f>
        <v>0</v>
      </c>
      <c r="M30" s="5" t="s">
        <v>59</v>
      </c>
      <c r="N30" s="5" t="e">
        <f>#REF!</f>
        <v>#REF!</v>
      </c>
      <c r="O30" s="5" t="e">
        <f t="shared" si="3"/>
        <v>#REF!</v>
      </c>
    </row>
    <row r="31" spans="1:15" ht="26.25" hidden="1" customHeight="1">
      <c r="A31" s="288"/>
      <c r="B31" s="195">
        <v>0.100694444444444</v>
      </c>
      <c r="C31" s="196">
        <v>0</v>
      </c>
      <c r="D31" s="196">
        <v>0</v>
      </c>
      <c r="E31" s="196">
        <v>0</v>
      </c>
      <c r="F31" s="196">
        <v>0</v>
      </c>
      <c r="G31" s="194">
        <f t="shared" si="0"/>
        <v>0</v>
      </c>
      <c r="H31" s="194">
        <f t="shared" si="1"/>
        <v>0</v>
      </c>
      <c r="I31" s="194">
        <f t="shared" si="2"/>
        <v>0</v>
      </c>
      <c r="J31" s="38">
        <f>MQ!AD31</f>
        <v>0</v>
      </c>
      <c r="K31" s="38">
        <f>MQ!AE31</f>
        <v>0</v>
      </c>
      <c r="M31" s="5" t="s">
        <v>60</v>
      </c>
      <c r="N31" s="5" t="e">
        <f>#REF!</f>
        <v>#REF!</v>
      </c>
      <c r="O31" s="5" t="e">
        <f t="shared" si="3"/>
        <v>#REF!</v>
      </c>
    </row>
    <row r="32" spans="1:15" ht="26.25" hidden="1" customHeight="1">
      <c r="A32" s="288"/>
      <c r="B32" s="195">
        <v>0.10416666666666601</v>
      </c>
      <c r="C32" s="196">
        <v>0</v>
      </c>
      <c r="D32" s="196">
        <v>0</v>
      </c>
      <c r="E32" s="196">
        <v>0</v>
      </c>
      <c r="F32" s="196">
        <v>0</v>
      </c>
      <c r="G32" s="194">
        <f t="shared" si="0"/>
        <v>0</v>
      </c>
      <c r="H32" s="194">
        <f t="shared" si="1"/>
        <v>0</v>
      </c>
      <c r="I32" s="194">
        <f t="shared" si="2"/>
        <v>0</v>
      </c>
      <c r="J32" s="38">
        <f>MQ!AD32</f>
        <v>0</v>
      </c>
      <c r="K32" s="38">
        <f>MQ!AE32</f>
        <v>0</v>
      </c>
      <c r="M32" s="5" t="s">
        <v>61</v>
      </c>
      <c r="N32" s="5" t="e">
        <f>#REF!</f>
        <v>#REF!</v>
      </c>
      <c r="O32" s="5" t="e">
        <f t="shared" si="3"/>
        <v>#REF!</v>
      </c>
    </row>
    <row r="33" spans="1:15" ht="26.25" hidden="1" customHeight="1">
      <c r="A33" s="288"/>
      <c r="B33" s="195">
        <v>0.10763888888888901</v>
      </c>
      <c r="C33" s="196">
        <v>0</v>
      </c>
      <c r="D33" s="196">
        <v>0</v>
      </c>
      <c r="E33" s="196">
        <v>0</v>
      </c>
      <c r="F33" s="196">
        <v>0</v>
      </c>
      <c r="G33" s="194">
        <f t="shared" si="0"/>
        <v>0</v>
      </c>
      <c r="H33" s="194">
        <f t="shared" si="1"/>
        <v>0</v>
      </c>
      <c r="I33" s="194">
        <f t="shared" si="2"/>
        <v>0</v>
      </c>
      <c r="J33" s="38">
        <f>MQ!AD33</f>
        <v>0</v>
      </c>
      <c r="K33" s="38">
        <f>MQ!AE33</f>
        <v>0</v>
      </c>
      <c r="M33" s="5" t="s">
        <v>62</v>
      </c>
      <c r="N33" s="5" t="e">
        <f>#REF!</f>
        <v>#REF!</v>
      </c>
      <c r="O33" s="5" t="e">
        <f t="shared" si="3"/>
        <v>#REF!</v>
      </c>
    </row>
    <row r="34" spans="1:15" ht="26.25" hidden="1" customHeight="1">
      <c r="A34" s="288"/>
      <c r="B34" s="195">
        <v>0.11111111111111099</v>
      </c>
      <c r="C34" s="196">
        <v>0</v>
      </c>
      <c r="D34" s="196">
        <v>0</v>
      </c>
      <c r="E34" s="196">
        <v>0</v>
      </c>
      <c r="F34" s="196">
        <v>0</v>
      </c>
      <c r="G34" s="194">
        <f t="shared" si="0"/>
        <v>0</v>
      </c>
      <c r="H34" s="194">
        <f t="shared" si="1"/>
        <v>0</v>
      </c>
      <c r="I34" s="194">
        <f t="shared" si="2"/>
        <v>0</v>
      </c>
      <c r="J34" s="38">
        <f>MQ!AD34</f>
        <v>0</v>
      </c>
      <c r="K34" s="38">
        <f>MQ!AE34</f>
        <v>0</v>
      </c>
      <c r="M34" s="5" t="s">
        <v>63</v>
      </c>
      <c r="N34" s="5" t="e">
        <f>#REF!</f>
        <v>#REF!</v>
      </c>
      <c r="O34" s="5" t="e">
        <f t="shared" si="3"/>
        <v>#REF!</v>
      </c>
    </row>
    <row r="35" spans="1:15" ht="26.25" hidden="1" customHeight="1">
      <c r="A35" s="288"/>
      <c r="B35" s="195">
        <v>0.114583333333333</v>
      </c>
      <c r="C35" s="196">
        <v>0</v>
      </c>
      <c r="D35" s="196">
        <v>0</v>
      </c>
      <c r="E35" s="196">
        <v>0</v>
      </c>
      <c r="F35" s="196">
        <v>0</v>
      </c>
      <c r="G35" s="194">
        <f t="shared" si="0"/>
        <v>0</v>
      </c>
      <c r="H35" s="194">
        <f t="shared" si="1"/>
        <v>0</v>
      </c>
      <c r="I35" s="194">
        <f t="shared" si="2"/>
        <v>0</v>
      </c>
      <c r="J35" s="38">
        <f>MQ!AD35</f>
        <v>0</v>
      </c>
      <c r="K35" s="38">
        <f>MQ!AE35</f>
        <v>0</v>
      </c>
      <c r="N35" s="3" t="s">
        <v>65</v>
      </c>
      <c r="O35" s="3" t="e">
        <f>AVERAGE(O11:O34)</f>
        <v>#REF!</v>
      </c>
    </row>
    <row r="36" spans="1:15" ht="26.25" hidden="1" customHeight="1">
      <c r="A36" s="288"/>
      <c r="B36" s="195">
        <v>0.118055555555555</v>
      </c>
      <c r="C36" s="196">
        <v>0</v>
      </c>
      <c r="D36" s="196">
        <v>0</v>
      </c>
      <c r="E36" s="196">
        <v>0</v>
      </c>
      <c r="F36" s="196">
        <v>0</v>
      </c>
      <c r="G36" s="194">
        <f t="shared" si="0"/>
        <v>0</v>
      </c>
      <c r="H36" s="194">
        <f t="shared" si="1"/>
        <v>0</v>
      </c>
      <c r="I36" s="194">
        <f t="shared" ref="I36:I67" si="4">E36/12</f>
        <v>0</v>
      </c>
      <c r="J36" s="38">
        <f>MQ!AD36</f>
        <v>0</v>
      </c>
      <c r="K36" s="38">
        <f>MQ!AE36</f>
        <v>0</v>
      </c>
    </row>
    <row r="37" spans="1:15" ht="26.25" hidden="1" customHeight="1">
      <c r="A37" s="288"/>
      <c r="B37" s="195">
        <v>0.121527777777778</v>
      </c>
      <c r="C37" s="196">
        <v>0</v>
      </c>
      <c r="D37" s="196">
        <v>0</v>
      </c>
      <c r="E37" s="196">
        <v>0</v>
      </c>
      <c r="F37" s="196">
        <v>0</v>
      </c>
      <c r="G37" s="194">
        <f t="shared" si="0"/>
        <v>0</v>
      </c>
      <c r="H37" s="194">
        <f t="shared" si="1"/>
        <v>0</v>
      </c>
      <c r="I37" s="194">
        <f t="shared" si="4"/>
        <v>0</v>
      </c>
      <c r="J37" s="38">
        <f>MQ!AD37</f>
        <v>0</v>
      </c>
      <c r="K37" s="38">
        <f>MQ!AE37</f>
        <v>0</v>
      </c>
    </row>
    <row r="38" spans="1:15" ht="26.25" hidden="1" customHeight="1">
      <c r="A38" s="288"/>
      <c r="B38" s="195">
        <v>0.125</v>
      </c>
      <c r="C38" s="196">
        <v>0</v>
      </c>
      <c r="D38" s="196">
        <v>0</v>
      </c>
      <c r="E38" s="196">
        <v>0</v>
      </c>
      <c r="F38" s="196">
        <v>0</v>
      </c>
      <c r="G38" s="194">
        <f t="shared" si="0"/>
        <v>0</v>
      </c>
      <c r="H38" s="194">
        <f t="shared" si="1"/>
        <v>0</v>
      </c>
      <c r="I38" s="194">
        <f t="shared" si="4"/>
        <v>0</v>
      </c>
      <c r="J38" s="38">
        <f>MQ!AD38</f>
        <v>0</v>
      </c>
      <c r="K38" s="38">
        <f>MQ!AE38</f>
        <v>0</v>
      </c>
    </row>
    <row r="39" spans="1:15" ht="26.25" hidden="1" customHeight="1">
      <c r="A39" s="286" t="s">
        <v>5</v>
      </c>
      <c r="B39" s="197">
        <v>0.12847222222222199</v>
      </c>
      <c r="C39" s="198">
        <v>0</v>
      </c>
      <c r="D39" s="198">
        <v>0</v>
      </c>
      <c r="E39" s="198">
        <v>0</v>
      </c>
      <c r="F39" s="198">
        <v>0</v>
      </c>
      <c r="G39" s="194">
        <f t="shared" si="0"/>
        <v>0</v>
      </c>
      <c r="H39" s="194">
        <f t="shared" si="1"/>
        <v>0</v>
      </c>
      <c r="I39" s="194">
        <f t="shared" si="4"/>
        <v>0</v>
      </c>
      <c r="J39" s="38">
        <f>MQ!AD39</f>
        <v>0</v>
      </c>
      <c r="K39" s="38">
        <f>MQ!AE39</f>
        <v>0</v>
      </c>
    </row>
    <row r="40" spans="1:15" ht="26.25" hidden="1" customHeight="1">
      <c r="A40" s="286"/>
      <c r="B40" s="197">
        <v>0.131944444444444</v>
      </c>
      <c r="C40" s="198">
        <v>0</v>
      </c>
      <c r="D40" s="198">
        <v>0</v>
      </c>
      <c r="E40" s="198">
        <v>0</v>
      </c>
      <c r="F40" s="198">
        <v>0</v>
      </c>
      <c r="G40" s="194">
        <f t="shared" si="0"/>
        <v>0</v>
      </c>
      <c r="H40" s="194">
        <f t="shared" si="1"/>
        <v>0</v>
      </c>
      <c r="I40" s="194">
        <f t="shared" si="4"/>
        <v>0</v>
      </c>
      <c r="J40" s="38">
        <f>MQ!AD40</f>
        <v>0</v>
      </c>
      <c r="K40" s="38">
        <f>MQ!AE40</f>
        <v>0</v>
      </c>
    </row>
    <row r="41" spans="1:15" ht="26.25" hidden="1" customHeight="1">
      <c r="A41" s="286"/>
      <c r="B41" s="197">
        <v>0.13541666666666599</v>
      </c>
      <c r="C41" s="198">
        <v>0</v>
      </c>
      <c r="D41" s="198">
        <v>0</v>
      </c>
      <c r="E41" s="198">
        <v>0</v>
      </c>
      <c r="F41" s="198">
        <v>0</v>
      </c>
      <c r="G41" s="194">
        <f t="shared" si="0"/>
        <v>0</v>
      </c>
      <c r="H41" s="194">
        <f t="shared" si="1"/>
        <v>0</v>
      </c>
      <c r="I41" s="194">
        <f t="shared" si="4"/>
        <v>0</v>
      </c>
      <c r="J41" s="38">
        <f>MQ!AD41</f>
        <v>0</v>
      </c>
      <c r="K41" s="38">
        <f>MQ!AE41</f>
        <v>0</v>
      </c>
    </row>
    <row r="42" spans="1:15" ht="26.25" hidden="1" customHeight="1">
      <c r="A42" s="286"/>
      <c r="B42" s="197">
        <v>0.13888888888888901</v>
      </c>
      <c r="C42" s="198">
        <v>0</v>
      </c>
      <c r="D42" s="198">
        <v>0</v>
      </c>
      <c r="E42" s="198">
        <v>0</v>
      </c>
      <c r="F42" s="198">
        <v>0</v>
      </c>
      <c r="G42" s="194">
        <f t="shared" si="0"/>
        <v>0</v>
      </c>
      <c r="H42" s="194">
        <f t="shared" si="1"/>
        <v>0</v>
      </c>
      <c r="I42" s="194">
        <f t="shared" si="4"/>
        <v>0</v>
      </c>
      <c r="J42" s="38">
        <f>MQ!AD42</f>
        <v>0</v>
      </c>
      <c r="K42" s="38">
        <f>MQ!AE42</f>
        <v>0</v>
      </c>
    </row>
    <row r="43" spans="1:15" ht="26.25" hidden="1" customHeight="1">
      <c r="A43" s="286"/>
      <c r="B43" s="197">
        <v>0.14236111111111099</v>
      </c>
      <c r="C43" s="198">
        <v>0</v>
      </c>
      <c r="D43" s="198">
        <v>0</v>
      </c>
      <c r="E43" s="198">
        <v>0</v>
      </c>
      <c r="F43" s="198">
        <v>0</v>
      </c>
      <c r="G43" s="194">
        <f t="shared" si="0"/>
        <v>0</v>
      </c>
      <c r="H43" s="194">
        <f t="shared" si="1"/>
        <v>0</v>
      </c>
      <c r="I43" s="194">
        <f t="shared" si="4"/>
        <v>0</v>
      </c>
      <c r="J43" s="38">
        <f>MQ!AD43</f>
        <v>0</v>
      </c>
      <c r="K43" s="38">
        <f>MQ!AE43</f>
        <v>0</v>
      </c>
    </row>
    <row r="44" spans="1:15" ht="26.25" hidden="1" customHeight="1">
      <c r="A44" s="286"/>
      <c r="B44" s="197">
        <v>0.14583333333333301</v>
      </c>
      <c r="C44" s="198">
        <v>0</v>
      </c>
      <c r="D44" s="198">
        <v>0</v>
      </c>
      <c r="E44" s="198">
        <v>0</v>
      </c>
      <c r="F44" s="198">
        <v>0</v>
      </c>
      <c r="G44" s="194">
        <f t="shared" si="0"/>
        <v>0</v>
      </c>
      <c r="H44" s="194">
        <f t="shared" si="1"/>
        <v>0</v>
      </c>
      <c r="I44" s="194">
        <f t="shared" si="4"/>
        <v>0</v>
      </c>
      <c r="J44" s="38">
        <f>MQ!AD44</f>
        <v>0</v>
      </c>
      <c r="K44" s="38">
        <f>MQ!AE44</f>
        <v>0</v>
      </c>
    </row>
    <row r="45" spans="1:15" ht="26.25" hidden="1" customHeight="1">
      <c r="A45" s="286"/>
      <c r="B45" s="197">
        <v>0.149305555555555</v>
      </c>
      <c r="C45" s="198">
        <v>0</v>
      </c>
      <c r="D45" s="198">
        <v>0</v>
      </c>
      <c r="E45" s="198">
        <v>0</v>
      </c>
      <c r="F45" s="198">
        <v>0</v>
      </c>
      <c r="G45" s="194">
        <f t="shared" si="0"/>
        <v>0</v>
      </c>
      <c r="H45" s="194">
        <f t="shared" si="1"/>
        <v>0</v>
      </c>
      <c r="I45" s="194">
        <f t="shared" si="4"/>
        <v>0</v>
      </c>
      <c r="J45" s="38">
        <f>MQ!AD45</f>
        <v>0</v>
      </c>
      <c r="K45" s="38">
        <f>MQ!AE45</f>
        <v>0</v>
      </c>
    </row>
    <row r="46" spans="1:15" ht="26.25" hidden="1" customHeight="1">
      <c r="A46" s="286"/>
      <c r="B46" s="197">
        <v>0.15277777777777801</v>
      </c>
      <c r="C46" s="198">
        <v>0</v>
      </c>
      <c r="D46" s="198">
        <v>0</v>
      </c>
      <c r="E46" s="198">
        <v>0</v>
      </c>
      <c r="F46" s="198">
        <v>0</v>
      </c>
      <c r="G46" s="194">
        <f t="shared" si="0"/>
        <v>0</v>
      </c>
      <c r="H46" s="194">
        <f t="shared" si="1"/>
        <v>0</v>
      </c>
      <c r="I46" s="194">
        <f t="shared" si="4"/>
        <v>0</v>
      </c>
      <c r="J46" s="38">
        <f>MQ!AD46</f>
        <v>0</v>
      </c>
      <c r="K46" s="38">
        <f>MQ!AE46</f>
        <v>0</v>
      </c>
    </row>
    <row r="47" spans="1:15" ht="26.25" hidden="1" customHeight="1">
      <c r="A47" s="286"/>
      <c r="B47" s="197">
        <v>0.15625</v>
      </c>
      <c r="C47" s="198">
        <v>0</v>
      </c>
      <c r="D47" s="198">
        <v>0</v>
      </c>
      <c r="E47" s="198">
        <v>0</v>
      </c>
      <c r="F47" s="198">
        <v>0</v>
      </c>
      <c r="G47" s="194">
        <f t="shared" si="0"/>
        <v>0</v>
      </c>
      <c r="H47" s="194">
        <f t="shared" si="1"/>
        <v>0</v>
      </c>
      <c r="I47" s="194">
        <f t="shared" si="4"/>
        <v>0</v>
      </c>
      <c r="J47" s="38">
        <f>MQ!AD47</f>
        <v>0</v>
      </c>
      <c r="K47" s="38">
        <f>MQ!AE47</f>
        <v>0</v>
      </c>
    </row>
    <row r="48" spans="1:15" ht="26.25" hidden="1" customHeight="1">
      <c r="A48" s="286"/>
      <c r="B48" s="197">
        <v>0.15972222222222199</v>
      </c>
      <c r="C48" s="198">
        <v>0</v>
      </c>
      <c r="D48" s="198">
        <v>0</v>
      </c>
      <c r="E48" s="198">
        <v>0</v>
      </c>
      <c r="F48" s="198">
        <v>0</v>
      </c>
      <c r="G48" s="194">
        <f t="shared" si="0"/>
        <v>0</v>
      </c>
      <c r="H48" s="194">
        <f t="shared" si="1"/>
        <v>0</v>
      </c>
      <c r="I48" s="194">
        <f t="shared" si="4"/>
        <v>0</v>
      </c>
      <c r="J48" s="38">
        <f>MQ!AD48</f>
        <v>0</v>
      </c>
      <c r="K48" s="38">
        <f>MQ!AE48</f>
        <v>0</v>
      </c>
    </row>
    <row r="49" spans="1:11" ht="26.25" hidden="1" customHeight="1">
      <c r="A49" s="286"/>
      <c r="B49" s="197">
        <v>0.163194444444444</v>
      </c>
      <c r="C49" s="198">
        <v>0</v>
      </c>
      <c r="D49" s="198">
        <v>0</v>
      </c>
      <c r="E49" s="198">
        <v>0</v>
      </c>
      <c r="F49" s="198">
        <v>0</v>
      </c>
      <c r="G49" s="194">
        <f t="shared" si="0"/>
        <v>0</v>
      </c>
      <c r="H49" s="194">
        <f t="shared" si="1"/>
        <v>0</v>
      </c>
      <c r="I49" s="194">
        <f t="shared" si="4"/>
        <v>0</v>
      </c>
      <c r="J49" s="38">
        <f>MQ!AD49</f>
        <v>0</v>
      </c>
      <c r="K49" s="38">
        <f>MQ!AE49</f>
        <v>0</v>
      </c>
    </row>
    <row r="50" spans="1:11" ht="26.25" hidden="1" customHeight="1">
      <c r="A50" s="286"/>
      <c r="B50" s="197">
        <v>0.16666666666666599</v>
      </c>
      <c r="C50" s="198">
        <v>0</v>
      </c>
      <c r="D50" s="198">
        <v>0</v>
      </c>
      <c r="E50" s="198">
        <v>0</v>
      </c>
      <c r="F50" s="198">
        <v>0</v>
      </c>
      <c r="G50" s="194">
        <f t="shared" si="0"/>
        <v>0</v>
      </c>
      <c r="H50" s="194">
        <f t="shared" si="1"/>
        <v>0</v>
      </c>
      <c r="I50" s="194">
        <f t="shared" si="4"/>
        <v>0</v>
      </c>
      <c r="J50" s="38">
        <f>MQ!AD50</f>
        <v>0</v>
      </c>
      <c r="K50" s="38">
        <f>MQ!AE50</f>
        <v>0</v>
      </c>
    </row>
    <row r="51" spans="1:11" ht="26.25" hidden="1" customHeight="1">
      <c r="A51" s="288" t="s">
        <v>6</v>
      </c>
      <c r="B51" s="195">
        <v>0.17013888888888901</v>
      </c>
      <c r="C51" s="196">
        <v>0</v>
      </c>
      <c r="D51" s="196">
        <v>0</v>
      </c>
      <c r="E51" s="196">
        <v>0</v>
      </c>
      <c r="F51" s="196">
        <v>0</v>
      </c>
      <c r="G51" s="194">
        <f t="shared" si="0"/>
        <v>0</v>
      </c>
      <c r="H51" s="194">
        <f t="shared" si="1"/>
        <v>0</v>
      </c>
      <c r="I51" s="194">
        <f t="shared" si="4"/>
        <v>0</v>
      </c>
      <c r="J51" s="38">
        <f>MQ!AD51</f>
        <v>0</v>
      </c>
      <c r="K51" s="38">
        <f>MQ!AE51</f>
        <v>0</v>
      </c>
    </row>
    <row r="52" spans="1:11" ht="26.25" hidden="1" customHeight="1">
      <c r="A52" s="288"/>
      <c r="B52" s="195">
        <v>0.17361111111111099</v>
      </c>
      <c r="C52" s="196">
        <v>0</v>
      </c>
      <c r="D52" s="196">
        <v>0</v>
      </c>
      <c r="E52" s="196">
        <v>0</v>
      </c>
      <c r="F52" s="196">
        <v>0</v>
      </c>
      <c r="G52" s="194">
        <f t="shared" si="0"/>
        <v>0</v>
      </c>
      <c r="H52" s="194">
        <f t="shared" si="1"/>
        <v>0</v>
      </c>
      <c r="I52" s="194">
        <f t="shared" si="4"/>
        <v>0</v>
      </c>
      <c r="J52" s="38">
        <f>MQ!AD52</f>
        <v>0</v>
      </c>
      <c r="K52" s="38">
        <f>MQ!AE52</f>
        <v>0</v>
      </c>
    </row>
    <row r="53" spans="1:11" ht="26.25" hidden="1" customHeight="1">
      <c r="A53" s="288"/>
      <c r="B53" s="195">
        <v>0.17708333333333301</v>
      </c>
      <c r="C53" s="196">
        <v>0</v>
      </c>
      <c r="D53" s="196">
        <v>0</v>
      </c>
      <c r="E53" s="196">
        <v>0</v>
      </c>
      <c r="F53" s="196">
        <v>0</v>
      </c>
      <c r="G53" s="194">
        <f t="shared" si="0"/>
        <v>0</v>
      </c>
      <c r="H53" s="194">
        <f t="shared" si="1"/>
        <v>0</v>
      </c>
      <c r="I53" s="194">
        <f t="shared" si="4"/>
        <v>0</v>
      </c>
      <c r="J53" s="38">
        <f>MQ!AD53</f>
        <v>0</v>
      </c>
      <c r="K53" s="38">
        <f>MQ!AE53</f>
        <v>0</v>
      </c>
    </row>
    <row r="54" spans="1:11" ht="26.25" hidden="1" customHeight="1">
      <c r="A54" s="288"/>
      <c r="B54" s="195">
        <v>0.180555555555555</v>
      </c>
      <c r="C54" s="196">
        <v>0</v>
      </c>
      <c r="D54" s="196">
        <v>0</v>
      </c>
      <c r="E54" s="196">
        <v>0</v>
      </c>
      <c r="F54" s="196">
        <v>0</v>
      </c>
      <c r="G54" s="194">
        <f t="shared" si="0"/>
        <v>0</v>
      </c>
      <c r="H54" s="194">
        <f t="shared" si="1"/>
        <v>0</v>
      </c>
      <c r="I54" s="194">
        <f t="shared" si="4"/>
        <v>0</v>
      </c>
      <c r="J54" s="38">
        <f>MQ!AD54</f>
        <v>0</v>
      </c>
      <c r="K54" s="38">
        <f>MQ!AE54</f>
        <v>0</v>
      </c>
    </row>
    <row r="55" spans="1:11" ht="26.25" hidden="1" customHeight="1">
      <c r="A55" s="288"/>
      <c r="B55" s="195">
        <v>0.18402777777777801</v>
      </c>
      <c r="C55" s="196">
        <v>0</v>
      </c>
      <c r="D55" s="196">
        <v>0</v>
      </c>
      <c r="E55" s="196">
        <v>0</v>
      </c>
      <c r="F55" s="196">
        <v>0</v>
      </c>
      <c r="G55" s="194">
        <f t="shared" si="0"/>
        <v>0</v>
      </c>
      <c r="H55" s="194">
        <f t="shared" si="1"/>
        <v>0</v>
      </c>
      <c r="I55" s="194">
        <f t="shared" si="4"/>
        <v>0</v>
      </c>
      <c r="J55" s="38">
        <f>MQ!AD55</f>
        <v>0</v>
      </c>
      <c r="K55" s="38">
        <f>MQ!AE55</f>
        <v>0</v>
      </c>
    </row>
    <row r="56" spans="1:11" ht="26.25" hidden="1" customHeight="1">
      <c r="A56" s="288"/>
      <c r="B56" s="195">
        <v>0.1875</v>
      </c>
      <c r="C56" s="196">
        <v>0</v>
      </c>
      <c r="D56" s="196">
        <v>0</v>
      </c>
      <c r="E56" s="196">
        <v>0</v>
      </c>
      <c r="F56" s="196">
        <v>0</v>
      </c>
      <c r="G56" s="194">
        <f t="shared" si="0"/>
        <v>0</v>
      </c>
      <c r="H56" s="194">
        <f t="shared" si="1"/>
        <v>0</v>
      </c>
      <c r="I56" s="194">
        <f t="shared" si="4"/>
        <v>0</v>
      </c>
      <c r="J56" s="38">
        <f>MQ!AD56</f>
        <v>0</v>
      </c>
      <c r="K56" s="38">
        <f>MQ!AE56</f>
        <v>0</v>
      </c>
    </row>
    <row r="57" spans="1:11" ht="26.25" hidden="1" customHeight="1">
      <c r="A57" s="288"/>
      <c r="B57" s="195">
        <v>0.19097222222222199</v>
      </c>
      <c r="C57" s="196">
        <v>0</v>
      </c>
      <c r="D57" s="196">
        <v>0</v>
      </c>
      <c r="E57" s="196">
        <v>0</v>
      </c>
      <c r="F57" s="196">
        <v>0</v>
      </c>
      <c r="G57" s="194">
        <f t="shared" si="0"/>
        <v>0</v>
      </c>
      <c r="H57" s="194">
        <f t="shared" si="1"/>
        <v>0</v>
      </c>
      <c r="I57" s="194">
        <f t="shared" si="4"/>
        <v>0</v>
      </c>
      <c r="J57" s="38">
        <f>MQ!AD57</f>
        <v>0</v>
      </c>
      <c r="K57" s="38">
        <f>MQ!AE57</f>
        <v>0</v>
      </c>
    </row>
    <row r="58" spans="1:11" ht="26.25" hidden="1" customHeight="1">
      <c r="A58" s="288"/>
      <c r="B58" s="195">
        <v>0.194444444444444</v>
      </c>
      <c r="C58" s="196">
        <v>0</v>
      </c>
      <c r="D58" s="196">
        <v>0</v>
      </c>
      <c r="E58" s="196">
        <v>0</v>
      </c>
      <c r="F58" s="196">
        <v>0</v>
      </c>
      <c r="G58" s="194">
        <f t="shared" si="0"/>
        <v>0</v>
      </c>
      <c r="H58" s="194">
        <f t="shared" si="1"/>
        <v>0</v>
      </c>
      <c r="I58" s="194">
        <f t="shared" si="4"/>
        <v>0</v>
      </c>
      <c r="J58" s="38">
        <f>MQ!AD58</f>
        <v>0</v>
      </c>
      <c r="K58" s="38">
        <f>MQ!AE58</f>
        <v>0</v>
      </c>
    </row>
    <row r="59" spans="1:11" ht="26.25" hidden="1" customHeight="1">
      <c r="A59" s="288"/>
      <c r="B59" s="195">
        <v>0.19791666666666599</v>
      </c>
      <c r="C59" s="196">
        <v>0</v>
      </c>
      <c r="D59" s="196">
        <v>0</v>
      </c>
      <c r="E59" s="196">
        <v>0</v>
      </c>
      <c r="F59" s="196">
        <v>0</v>
      </c>
      <c r="G59" s="194">
        <f t="shared" si="0"/>
        <v>0</v>
      </c>
      <c r="H59" s="194">
        <f t="shared" si="1"/>
        <v>0</v>
      </c>
      <c r="I59" s="194">
        <f t="shared" si="4"/>
        <v>0</v>
      </c>
      <c r="J59" s="38">
        <f>MQ!AD59</f>
        <v>0</v>
      </c>
      <c r="K59" s="38">
        <f>MQ!AE59</f>
        <v>0</v>
      </c>
    </row>
    <row r="60" spans="1:11" ht="26.25" hidden="1" customHeight="1">
      <c r="A60" s="288"/>
      <c r="B60" s="195">
        <v>0.20138888888888901</v>
      </c>
      <c r="C60" s="196">
        <v>0</v>
      </c>
      <c r="D60" s="196">
        <v>0</v>
      </c>
      <c r="E60" s="196">
        <v>0</v>
      </c>
      <c r="F60" s="196">
        <v>0</v>
      </c>
      <c r="G60" s="194">
        <f t="shared" si="0"/>
        <v>0</v>
      </c>
      <c r="H60" s="194">
        <f t="shared" si="1"/>
        <v>0</v>
      </c>
      <c r="I60" s="194">
        <f t="shared" si="4"/>
        <v>0</v>
      </c>
      <c r="J60" s="38">
        <f>MQ!AD60</f>
        <v>0</v>
      </c>
      <c r="K60" s="38">
        <f>MQ!AE60</f>
        <v>0</v>
      </c>
    </row>
    <row r="61" spans="1:11" ht="26.25" hidden="1" customHeight="1">
      <c r="A61" s="288"/>
      <c r="B61" s="195">
        <v>0.20486111111111099</v>
      </c>
      <c r="C61" s="196">
        <v>0</v>
      </c>
      <c r="D61" s="196">
        <v>0</v>
      </c>
      <c r="E61" s="196">
        <v>0</v>
      </c>
      <c r="F61" s="196">
        <v>0</v>
      </c>
      <c r="G61" s="194">
        <f t="shared" si="0"/>
        <v>0</v>
      </c>
      <c r="H61" s="194">
        <f t="shared" si="1"/>
        <v>0</v>
      </c>
      <c r="I61" s="194">
        <f t="shared" si="4"/>
        <v>0</v>
      </c>
      <c r="J61" s="38">
        <f>MQ!AD61</f>
        <v>0</v>
      </c>
      <c r="K61" s="38">
        <f>MQ!AE61</f>
        <v>0</v>
      </c>
    </row>
    <row r="62" spans="1:11" ht="26.25" hidden="1" customHeight="1">
      <c r="A62" s="288"/>
      <c r="B62" s="195">
        <v>0.20833333333333301</v>
      </c>
      <c r="C62" s="196">
        <v>0</v>
      </c>
      <c r="D62" s="196">
        <v>0</v>
      </c>
      <c r="E62" s="196">
        <v>0</v>
      </c>
      <c r="F62" s="196">
        <v>0</v>
      </c>
      <c r="G62" s="194">
        <f t="shared" si="0"/>
        <v>0</v>
      </c>
      <c r="H62" s="194">
        <f t="shared" si="1"/>
        <v>0</v>
      </c>
      <c r="I62" s="194">
        <f t="shared" si="4"/>
        <v>0</v>
      </c>
      <c r="J62" s="38">
        <f>MQ!AD62</f>
        <v>0</v>
      </c>
      <c r="K62" s="38">
        <f>MQ!AE62</f>
        <v>0</v>
      </c>
    </row>
    <row r="63" spans="1:11" ht="26.25" customHeight="1">
      <c r="A63" s="286" t="s">
        <v>7</v>
      </c>
      <c r="B63" s="197">
        <v>0.211805555555555</v>
      </c>
      <c r="C63" s="198"/>
      <c r="D63" s="198"/>
      <c r="E63" s="198"/>
      <c r="F63" s="198"/>
      <c r="G63" s="194">
        <f t="shared" si="0"/>
        <v>0</v>
      </c>
      <c r="H63" s="194">
        <f t="shared" si="1"/>
        <v>0</v>
      </c>
      <c r="I63" s="194">
        <f t="shared" si="4"/>
        <v>0</v>
      </c>
      <c r="J63" s="38">
        <f>MQ!AD63</f>
        <v>0</v>
      </c>
      <c r="K63" s="38">
        <f>MQ!AE63</f>
        <v>0</v>
      </c>
    </row>
    <row r="64" spans="1:11" ht="26.25" customHeight="1">
      <c r="A64" s="286"/>
      <c r="B64" s="197">
        <v>0.21527777777777801</v>
      </c>
      <c r="C64" s="198"/>
      <c r="D64" s="198"/>
      <c r="E64" s="198"/>
      <c r="F64" s="198"/>
      <c r="G64" s="194">
        <f t="shared" si="0"/>
        <v>0</v>
      </c>
      <c r="H64" s="194">
        <f t="shared" si="1"/>
        <v>0</v>
      </c>
      <c r="I64" s="194">
        <f t="shared" si="4"/>
        <v>0</v>
      </c>
      <c r="J64" s="38">
        <f>MQ!AD64</f>
        <v>0</v>
      </c>
      <c r="K64" s="38">
        <f>MQ!AE64</f>
        <v>0</v>
      </c>
    </row>
    <row r="65" spans="1:11" ht="26.25" customHeight="1">
      <c r="A65" s="286"/>
      <c r="B65" s="197">
        <v>0.21875</v>
      </c>
      <c r="C65" s="198"/>
      <c r="D65" s="198"/>
      <c r="E65" s="198"/>
      <c r="F65" s="198"/>
      <c r="G65" s="194">
        <f t="shared" si="0"/>
        <v>0</v>
      </c>
      <c r="H65" s="194">
        <f t="shared" si="1"/>
        <v>0</v>
      </c>
      <c r="I65" s="194">
        <f t="shared" si="4"/>
        <v>0</v>
      </c>
      <c r="J65" s="38">
        <f>MQ!AD65</f>
        <v>0</v>
      </c>
      <c r="K65" s="38">
        <f>MQ!AE65</f>
        <v>0</v>
      </c>
    </row>
    <row r="66" spans="1:11" ht="26.25" customHeight="1">
      <c r="A66" s="286"/>
      <c r="B66" s="197">
        <v>0.22222222222222199</v>
      </c>
      <c r="C66" s="198"/>
      <c r="D66" s="198"/>
      <c r="E66" s="198"/>
      <c r="F66" s="198"/>
      <c r="G66" s="194">
        <f t="shared" si="0"/>
        <v>0</v>
      </c>
      <c r="H66" s="194">
        <f t="shared" si="1"/>
        <v>0</v>
      </c>
      <c r="I66" s="194">
        <f t="shared" si="4"/>
        <v>0</v>
      </c>
      <c r="J66" s="38">
        <f>MQ!AD66</f>
        <v>0</v>
      </c>
      <c r="K66" s="38">
        <f>MQ!AE66</f>
        <v>0</v>
      </c>
    </row>
    <row r="67" spans="1:11" ht="26.25" customHeight="1">
      <c r="A67" s="286"/>
      <c r="B67" s="197">
        <v>0.225694444444444</v>
      </c>
      <c r="C67" s="198"/>
      <c r="D67" s="198"/>
      <c r="E67" s="198"/>
      <c r="F67" s="198"/>
      <c r="G67" s="194">
        <f t="shared" si="0"/>
        <v>0</v>
      </c>
      <c r="H67" s="194">
        <f t="shared" si="1"/>
        <v>0</v>
      </c>
      <c r="I67" s="194">
        <f t="shared" si="4"/>
        <v>0</v>
      </c>
      <c r="J67" s="38">
        <f>MQ!AD67</f>
        <v>0</v>
      </c>
      <c r="K67" s="38">
        <f>MQ!AE67</f>
        <v>0</v>
      </c>
    </row>
    <row r="68" spans="1:11" ht="26.25" customHeight="1">
      <c r="A68" s="286"/>
      <c r="B68" s="197">
        <v>0.22916666666666599</v>
      </c>
      <c r="C68" s="198"/>
      <c r="D68" s="198"/>
      <c r="E68" s="198"/>
      <c r="F68" s="198"/>
      <c r="G68" s="194">
        <f t="shared" ref="G68:G131" si="5">C68/12</f>
        <v>0</v>
      </c>
      <c r="H68" s="194">
        <f t="shared" ref="H68:H131" si="6">D68/12</f>
        <v>0</v>
      </c>
      <c r="I68" s="194">
        <f t="shared" ref="I68:I131" si="7">E68/12</f>
        <v>0</v>
      </c>
      <c r="J68" s="38">
        <f>MQ!AD68</f>
        <v>0</v>
      </c>
      <c r="K68" s="38">
        <f>MQ!AE68</f>
        <v>0</v>
      </c>
    </row>
    <row r="69" spans="1:11" ht="26.25" customHeight="1">
      <c r="A69" s="286"/>
      <c r="B69" s="197">
        <v>0.23263888888888901</v>
      </c>
      <c r="C69" s="198"/>
      <c r="D69" s="198"/>
      <c r="E69" s="198"/>
      <c r="F69" s="198"/>
      <c r="G69" s="194">
        <f t="shared" si="5"/>
        <v>0</v>
      </c>
      <c r="H69" s="194">
        <f t="shared" si="6"/>
        <v>0</v>
      </c>
      <c r="I69" s="194">
        <f t="shared" si="7"/>
        <v>0</v>
      </c>
      <c r="J69" s="38">
        <f>MQ!AD69</f>
        <v>0</v>
      </c>
      <c r="K69" s="38">
        <f>MQ!AE69</f>
        <v>0</v>
      </c>
    </row>
    <row r="70" spans="1:11" ht="26.25" customHeight="1">
      <c r="A70" s="286"/>
      <c r="B70" s="197">
        <v>0.23611111111111099</v>
      </c>
      <c r="C70" s="198"/>
      <c r="D70" s="198"/>
      <c r="E70" s="198"/>
      <c r="F70" s="198"/>
      <c r="G70" s="194">
        <f t="shared" si="5"/>
        <v>0</v>
      </c>
      <c r="H70" s="194">
        <f t="shared" si="6"/>
        <v>0</v>
      </c>
      <c r="I70" s="194">
        <f t="shared" si="7"/>
        <v>0</v>
      </c>
      <c r="J70" s="38">
        <f>MQ!AD70</f>
        <v>0</v>
      </c>
      <c r="K70" s="38">
        <f>MQ!AE70</f>
        <v>0</v>
      </c>
    </row>
    <row r="71" spans="1:11" ht="26.25" customHeight="1">
      <c r="A71" s="286"/>
      <c r="B71" s="197">
        <v>0.23958333333333301</v>
      </c>
      <c r="C71" s="198"/>
      <c r="D71" s="198"/>
      <c r="E71" s="198"/>
      <c r="F71" s="198"/>
      <c r="G71" s="194">
        <f t="shared" si="5"/>
        <v>0</v>
      </c>
      <c r="H71" s="194">
        <f t="shared" si="6"/>
        <v>0</v>
      </c>
      <c r="I71" s="194">
        <f t="shared" si="7"/>
        <v>0</v>
      </c>
      <c r="J71" s="38">
        <f>MQ!AD71</f>
        <v>0</v>
      </c>
      <c r="K71" s="38">
        <f>MQ!AE71</f>
        <v>0</v>
      </c>
    </row>
    <row r="72" spans="1:11" ht="26.25" customHeight="1">
      <c r="A72" s="286"/>
      <c r="B72" s="197">
        <v>0.243055555555555</v>
      </c>
      <c r="C72" s="198"/>
      <c r="D72" s="198"/>
      <c r="E72" s="198"/>
      <c r="F72" s="198"/>
      <c r="G72" s="194">
        <f t="shared" si="5"/>
        <v>0</v>
      </c>
      <c r="H72" s="194">
        <f t="shared" si="6"/>
        <v>0</v>
      </c>
      <c r="I72" s="194">
        <f t="shared" si="7"/>
        <v>0</v>
      </c>
      <c r="J72" s="38">
        <f>MQ!AD72</f>
        <v>0</v>
      </c>
      <c r="K72" s="38">
        <f>MQ!AE72</f>
        <v>0</v>
      </c>
    </row>
    <row r="73" spans="1:11" ht="26.25" customHeight="1">
      <c r="A73" s="286"/>
      <c r="B73" s="197">
        <v>0.24652777777777801</v>
      </c>
      <c r="C73" s="198"/>
      <c r="D73" s="198"/>
      <c r="E73" s="198"/>
      <c r="F73" s="198"/>
      <c r="G73" s="194">
        <f t="shared" si="5"/>
        <v>0</v>
      </c>
      <c r="H73" s="194">
        <f t="shared" si="6"/>
        <v>0</v>
      </c>
      <c r="I73" s="194">
        <f t="shared" si="7"/>
        <v>0</v>
      </c>
      <c r="J73" s="38">
        <f>MQ!AD73</f>
        <v>0</v>
      </c>
      <c r="K73" s="38">
        <f>MQ!AE73</f>
        <v>0</v>
      </c>
    </row>
    <row r="74" spans="1:11" ht="26.25" customHeight="1">
      <c r="A74" s="286"/>
      <c r="B74" s="197">
        <v>0.25</v>
      </c>
      <c r="C74" s="198"/>
      <c r="D74" s="198"/>
      <c r="E74" s="198"/>
      <c r="F74" s="198"/>
      <c r="G74" s="194">
        <f t="shared" si="5"/>
        <v>0</v>
      </c>
      <c r="H74" s="194">
        <f t="shared" si="6"/>
        <v>0</v>
      </c>
      <c r="I74" s="194">
        <f t="shared" si="7"/>
        <v>0</v>
      </c>
      <c r="J74" s="38">
        <f>MQ!AD74</f>
        <v>0</v>
      </c>
      <c r="K74" s="38">
        <f>MQ!AE74</f>
        <v>0</v>
      </c>
    </row>
    <row r="75" spans="1:11" ht="26.25" customHeight="1">
      <c r="A75" s="288" t="s">
        <v>8</v>
      </c>
      <c r="B75" s="195">
        <v>0.25347222222222199</v>
      </c>
      <c r="C75" s="196"/>
      <c r="D75" s="196"/>
      <c r="E75" s="196"/>
      <c r="F75" s="196"/>
      <c r="G75" s="194">
        <f t="shared" si="5"/>
        <v>0</v>
      </c>
      <c r="H75" s="194">
        <f t="shared" si="6"/>
        <v>0</v>
      </c>
      <c r="I75" s="194">
        <f t="shared" si="7"/>
        <v>0</v>
      </c>
      <c r="J75" s="38">
        <f>MQ!AD75</f>
        <v>0</v>
      </c>
      <c r="K75" s="38">
        <f>MQ!AE75</f>
        <v>0</v>
      </c>
    </row>
    <row r="76" spans="1:11" ht="26.25" customHeight="1">
      <c r="A76" s="288"/>
      <c r="B76" s="195">
        <v>0.25694444444444398</v>
      </c>
      <c r="C76" s="196"/>
      <c r="D76" s="196"/>
      <c r="E76" s="196"/>
      <c r="F76" s="196"/>
      <c r="G76" s="194">
        <f t="shared" si="5"/>
        <v>0</v>
      </c>
      <c r="H76" s="194">
        <f t="shared" si="6"/>
        <v>0</v>
      </c>
      <c r="I76" s="194">
        <f t="shared" si="7"/>
        <v>0</v>
      </c>
      <c r="J76" s="38">
        <f>MQ!AD76</f>
        <v>0</v>
      </c>
      <c r="K76" s="38">
        <f>MQ!AE76</f>
        <v>0</v>
      </c>
    </row>
    <row r="77" spans="1:11" ht="26.25" customHeight="1">
      <c r="A77" s="288"/>
      <c r="B77" s="195">
        <v>0.26041666666666602</v>
      </c>
      <c r="C77" s="196"/>
      <c r="D77" s="196"/>
      <c r="E77" s="196"/>
      <c r="F77" s="196"/>
      <c r="G77" s="194">
        <f t="shared" si="5"/>
        <v>0</v>
      </c>
      <c r="H77" s="194">
        <f t="shared" si="6"/>
        <v>0</v>
      </c>
      <c r="I77" s="194">
        <f t="shared" si="7"/>
        <v>0</v>
      </c>
      <c r="J77" s="38">
        <f>MQ!AD77</f>
        <v>0</v>
      </c>
      <c r="K77" s="38">
        <f>MQ!AE77</f>
        <v>0</v>
      </c>
    </row>
    <row r="78" spans="1:11" ht="26.25" customHeight="1">
      <c r="A78" s="288"/>
      <c r="B78" s="195">
        <v>0.26388888888888901</v>
      </c>
      <c r="C78" s="196"/>
      <c r="D78" s="196"/>
      <c r="E78" s="196"/>
      <c r="F78" s="196"/>
      <c r="G78" s="194">
        <f t="shared" si="5"/>
        <v>0</v>
      </c>
      <c r="H78" s="194">
        <f t="shared" si="6"/>
        <v>0</v>
      </c>
      <c r="I78" s="194">
        <f t="shared" si="7"/>
        <v>0</v>
      </c>
      <c r="J78" s="38">
        <f>MQ!AD78</f>
        <v>0</v>
      </c>
      <c r="K78" s="38">
        <f>MQ!AE78</f>
        <v>0</v>
      </c>
    </row>
    <row r="79" spans="1:11" ht="26.25" customHeight="1">
      <c r="A79" s="288"/>
      <c r="B79" s="195">
        <v>0.26736111111111099</v>
      </c>
      <c r="C79" s="196"/>
      <c r="D79" s="196"/>
      <c r="E79" s="196"/>
      <c r="F79" s="196"/>
      <c r="G79" s="194">
        <f t="shared" si="5"/>
        <v>0</v>
      </c>
      <c r="H79" s="194">
        <f t="shared" si="6"/>
        <v>0</v>
      </c>
      <c r="I79" s="194">
        <f t="shared" si="7"/>
        <v>0</v>
      </c>
      <c r="J79" s="38">
        <f>MQ!AD79</f>
        <v>0</v>
      </c>
      <c r="K79" s="38">
        <f>MQ!AE79</f>
        <v>0</v>
      </c>
    </row>
    <row r="80" spans="1:11" ht="26.25" customHeight="1">
      <c r="A80" s="288"/>
      <c r="B80" s="195">
        <v>0.27083333333333298</v>
      </c>
      <c r="C80" s="196"/>
      <c r="D80" s="196"/>
      <c r="E80" s="196"/>
      <c r="F80" s="196"/>
      <c r="G80" s="194">
        <f t="shared" si="5"/>
        <v>0</v>
      </c>
      <c r="H80" s="194">
        <f t="shared" si="6"/>
        <v>0</v>
      </c>
      <c r="I80" s="194">
        <f t="shared" si="7"/>
        <v>0</v>
      </c>
      <c r="J80" s="38">
        <f>MQ!AD80</f>
        <v>0</v>
      </c>
      <c r="K80" s="38">
        <f>MQ!AE80</f>
        <v>0</v>
      </c>
    </row>
    <row r="81" spans="1:17" ht="26.25" customHeight="1">
      <c r="A81" s="288"/>
      <c r="B81" s="195">
        <v>0.27430555555555503</v>
      </c>
      <c r="C81" s="196"/>
      <c r="D81" s="196"/>
      <c r="E81" s="196"/>
      <c r="F81" s="196"/>
      <c r="G81" s="194">
        <f t="shared" si="5"/>
        <v>0</v>
      </c>
      <c r="H81" s="194">
        <f t="shared" si="6"/>
        <v>0</v>
      </c>
      <c r="I81" s="194">
        <f t="shared" si="7"/>
        <v>0</v>
      </c>
      <c r="J81" s="38">
        <f>MQ!AD81</f>
        <v>0</v>
      </c>
      <c r="K81" s="38">
        <f>MQ!AE81</f>
        <v>0</v>
      </c>
    </row>
    <row r="82" spans="1:17" ht="26.25" customHeight="1">
      <c r="A82" s="288"/>
      <c r="B82" s="195">
        <v>0.27777777777777801</v>
      </c>
      <c r="C82" s="196"/>
      <c r="D82" s="196"/>
      <c r="E82" s="196"/>
      <c r="F82" s="196"/>
      <c r="G82" s="194">
        <f t="shared" si="5"/>
        <v>0</v>
      </c>
      <c r="H82" s="194">
        <f t="shared" si="6"/>
        <v>0</v>
      </c>
      <c r="I82" s="194">
        <f t="shared" si="7"/>
        <v>0</v>
      </c>
      <c r="J82" s="38">
        <f>MQ!AD82</f>
        <v>0</v>
      </c>
      <c r="K82" s="38">
        <f>MQ!AE82</f>
        <v>0</v>
      </c>
    </row>
    <row r="83" spans="1:17" ht="26.25" customHeight="1">
      <c r="A83" s="288"/>
      <c r="B83" s="195">
        <v>0.28125</v>
      </c>
      <c r="C83" s="196"/>
      <c r="D83" s="196"/>
      <c r="E83" s="196"/>
      <c r="F83" s="196"/>
      <c r="G83" s="194">
        <f t="shared" si="5"/>
        <v>0</v>
      </c>
      <c r="H83" s="194">
        <f t="shared" si="6"/>
        <v>0</v>
      </c>
      <c r="I83" s="194">
        <f t="shared" si="7"/>
        <v>0</v>
      </c>
      <c r="J83" s="38">
        <f>MQ!AD83</f>
        <v>0</v>
      </c>
      <c r="K83" s="38">
        <f>MQ!AE83</f>
        <v>0</v>
      </c>
    </row>
    <row r="84" spans="1:17" ht="26.25" customHeight="1">
      <c r="A84" s="288"/>
      <c r="B84" s="195">
        <v>0.28472222222222199</v>
      </c>
      <c r="C84" s="196"/>
      <c r="D84" s="196"/>
      <c r="E84" s="196"/>
      <c r="F84" s="196"/>
      <c r="G84" s="194">
        <f t="shared" si="5"/>
        <v>0</v>
      </c>
      <c r="H84" s="194">
        <f t="shared" si="6"/>
        <v>0</v>
      </c>
      <c r="I84" s="194">
        <f t="shared" si="7"/>
        <v>0</v>
      </c>
      <c r="J84" s="38">
        <f>MQ!AD84</f>
        <v>0</v>
      </c>
      <c r="K84" s="38">
        <f>MQ!AE84</f>
        <v>0</v>
      </c>
    </row>
    <row r="85" spans="1:17" ht="26.25" customHeight="1">
      <c r="A85" s="288"/>
      <c r="B85" s="195">
        <v>0.28819444444444398</v>
      </c>
      <c r="C85" s="196"/>
      <c r="D85" s="196"/>
      <c r="E85" s="196"/>
      <c r="F85" s="196"/>
      <c r="G85" s="194">
        <f t="shared" si="5"/>
        <v>0</v>
      </c>
      <c r="H85" s="194">
        <f t="shared" si="6"/>
        <v>0</v>
      </c>
      <c r="I85" s="194">
        <f t="shared" si="7"/>
        <v>0</v>
      </c>
      <c r="J85" s="38">
        <f>MQ!AD85</f>
        <v>0</v>
      </c>
      <c r="K85" s="38">
        <f>MQ!AE85</f>
        <v>0</v>
      </c>
    </row>
    <row r="86" spans="1:17" ht="26.25" customHeight="1">
      <c r="A86" s="288"/>
      <c r="B86" s="195">
        <v>0.29166666666666602</v>
      </c>
      <c r="C86" s="196"/>
      <c r="D86" s="196"/>
      <c r="E86" s="196"/>
      <c r="F86" s="196"/>
      <c r="G86" s="194">
        <f t="shared" si="5"/>
        <v>0</v>
      </c>
      <c r="H86" s="194">
        <f t="shared" si="6"/>
        <v>0</v>
      </c>
      <c r="I86" s="194">
        <f t="shared" si="7"/>
        <v>0</v>
      </c>
      <c r="J86" s="38">
        <f>MQ!AD86</f>
        <v>0</v>
      </c>
      <c r="K86" s="38">
        <f>MQ!AE86</f>
        <v>0</v>
      </c>
    </row>
    <row r="87" spans="1:17" ht="26.25" customHeight="1">
      <c r="A87" s="286" t="s">
        <v>9</v>
      </c>
      <c r="B87" s="197">
        <v>0.29513888888888901</v>
      </c>
      <c r="C87" s="198"/>
      <c r="D87" s="198"/>
      <c r="E87" s="198"/>
      <c r="F87" s="198"/>
      <c r="G87" s="194">
        <f t="shared" si="5"/>
        <v>0</v>
      </c>
      <c r="H87" s="194">
        <f t="shared" si="6"/>
        <v>0</v>
      </c>
      <c r="I87" s="194">
        <f t="shared" si="7"/>
        <v>0</v>
      </c>
      <c r="J87" s="38">
        <f>MQ!AD87</f>
        <v>0</v>
      </c>
      <c r="K87" s="38">
        <f>MQ!AE87</f>
        <v>0</v>
      </c>
    </row>
    <row r="88" spans="1:17" ht="26.25" customHeight="1">
      <c r="A88" s="286"/>
      <c r="B88" s="197">
        <v>0.29861111111111099</v>
      </c>
      <c r="C88" s="198"/>
      <c r="D88" s="198"/>
      <c r="E88" s="198"/>
      <c r="F88" s="198"/>
      <c r="G88" s="194">
        <f t="shared" si="5"/>
        <v>0</v>
      </c>
      <c r="H88" s="194">
        <f t="shared" si="6"/>
        <v>0</v>
      </c>
      <c r="I88" s="194">
        <f t="shared" si="7"/>
        <v>0</v>
      </c>
      <c r="J88" s="38">
        <f>MQ!AD88</f>
        <v>0</v>
      </c>
      <c r="K88" s="38">
        <f>MQ!AE88</f>
        <v>0</v>
      </c>
    </row>
    <row r="89" spans="1:17" ht="26.25" customHeight="1">
      <c r="A89" s="286"/>
      <c r="B89" s="197">
        <v>0.30208333333333298</v>
      </c>
      <c r="C89" s="198"/>
      <c r="D89" s="198"/>
      <c r="E89" s="198"/>
      <c r="F89" s="198"/>
      <c r="G89" s="194">
        <f t="shared" si="5"/>
        <v>0</v>
      </c>
      <c r="H89" s="194">
        <f t="shared" si="6"/>
        <v>0</v>
      </c>
      <c r="I89" s="194">
        <f t="shared" si="7"/>
        <v>0</v>
      </c>
      <c r="J89" s="38">
        <f>MQ!AD89</f>
        <v>0</v>
      </c>
      <c r="K89" s="38">
        <f>MQ!AE89</f>
        <v>0</v>
      </c>
    </row>
    <row r="90" spans="1:17" ht="26.25" customHeight="1">
      <c r="A90" s="286"/>
      <c r="B90" s="197">
        <v>0.30555555555555503</v>
      </c>
      <c r="C90" s="198"/>
      <c r="D90" s="198"/>
      <c r="E90" s="198"/>
      <c r="F90" s="198"/>
      <c r="G90" s="194">
        <f t="shared" si="5"/>
        <v>0</v>
      </c>
      <c r="H90" s="194">
        <f t="shared" si="6"/>
        <v>0</v>
      </c>
      <c r="I90" s="194">
        <f t="shared" si="7"/>
        <v>0</v>
      </c>
      <c r="J90" s="38">
        <f>MQ!AD90</f>
        <v>0</v>
      </c>
      <c r="K90" s="38">
        <f>MQ!AE90</f>
        <v>0</v>
      </c>
    </row>
    <row r="91" spans="1:17" ht="26.25" customHeight="1">
      <c r="A91" s="286"/>
      <c r="B91" s="197">
        <v>0.30902777777777801</v>
      </c>
      <c r="C91" s="198"/>
      <c r="D91" s="198"/>
      <c r="E91" s="198"/>
      <c r="F91" s="198"/>
      <c r="G91" s="194">
        <f t="shared" si="5"/>
        <v>0</v>
      </c>
      <c r="H91" s="194">
        <f t="shared" si="6"/>
        <v>0</v>
      </c>
      <c r="I91" s="194">
        <f t="shared" si="7"/>
        <v>0</v>
      </c>
      <c r="J91" s="38">
        <f>MQ!AD91</f>
        <v>0</v>
      </c>
      <c r="K91" s="38">
        <f>MQ!AE91</f>
        <v>0</v>
      </c>
      <c r="Q91" s="102">
        <f>E91/12</f>
        <v>0</v>
      </c>
    </row>
    <row r="92" spans="1:17" ht="26.25" customHeight="1">
      <c r="A92" s="286"/>
      <c r="B92" s="197">
        <v>0.3125</v>
      </c>
      <c r="C92" s="198"/>
      <c r="D92" s="198"/>
      <c r="E92" s="198"/>
      <c r="F92" s="198"/>
      <c r="G92" s="194">
        <f t="shared" si="5"/>
        <v>0</v>
      </c>
      <c r="H92" s="194">
        <f t="shared" si="6"/>
        <v>0</v>
      </c>
      <c r="I92" s="194">
        <f t="shared" si="7"/>
        <v>0</v>
      </c>
      <c r="J92" s="38">
        <f>MQ!AD92</f>
        <v>0</v>
      </c>
      <c r="K92" s="38">
        <f>MQ!AE92</f>
        <v>0</v>
      </c>
      <c r="Q92" s="102">
        <f>E92/12</f>
        <v>0</v>
      </c>
    </row>
    <row r="93" spans="1:17" ht="26.25" customHeight="1">
      <c r="A93" s="286"/>
      <c r="B93" s="197">
        <v>0.31597222222222199</v>
      </c>
      <c r="C93" s="198"/>
      <c r="D93" s="198"/>
      <c r="E93" s="198"/>
      <c r="F93" s="198"/>
      <c r="G93" s="194">
        <f t="shared" si="5"/>
        <v>0</v>
      </c>
      <c r="H93" s="194">
        <f t="shared" si="6"/>
        <v>0</v>
      </c>
      <c r="I93" s="194">
        <f t="shared" si="7"/>
        <v>0</v>
      </c>
      <c r="J93" s="38">
        <f>MQ!AD93</f>
        <v>0</v>
      </c>
      <c r="K93" s="38">
        <f>MQ!AE93</f>
        <v>0</v>
      </c>
      <c r="Q93" s="102">
        <f t="shared" ref="Q93:Q98" si="8">E93/12</f>
        <v>0</v>
      </c>
    </row>
    <row r="94" spans="1:17" ht="26.25" customHeight="1">
      <c r="A94" s="286"/>
      <c r="B94" s="197">
        <v>0.31944444444444398</v>
      </c>
      <c r="C94" s="198"/>
      <c r="D94" s="198"/>
      <c r="E94" s="198"/>
      <c r="F94" s="198"/>
      <c r="G94" s="194">
        <f t="shared" si="5"/>
        <v>0</v>
      </c>
      <c r="H94" s="194">
        <f t="shared" si="6"/>
        <v>0</v>
      </c>
      <c r="I94" s="194">
        <f t="shared" si="7"/>
        <v>0</v>
      </c>
      <c r="J94" s="38">
        <f>MQ!AD94</f>
        <v>0</v>
      </c>
      <c r="K94" s="38">
        <f>MQ!AE94</f>
        <v>0</v>
      </c>
      <c r="Q94" s="102">
        <f t="shared" si="8"/>
        <v>0</v>
      </c>
    </row>
    <row r="95" spans="1:17" ht="26.25" customHeight="1">
      <c r="A95" s="286"/>
      <c r="B95" s="197">
        <v>0.32291666666666602</v>
      </c>
      <c r="C95" s="198"/>
      <c r="D95" s="198"/>
      <c r="E95" s="198"/>
      <c r="F95" s="198"/>
      <c r="G95" s="194">
        <f t="shared" si="5"/>
        <v>0</v>
      </c>
      <c r="H95" s="194">
        <f t="shared" si="6"/>
        <v>0</v>
      </c>
      <c r="I95" s="194">
        <f t="shared" si="7"/>
        <v>0</v>
      </c>
      <c r="J95" s="38">
        <f>MQ!AD95</f>
        <v>0</v>
      </c>
      <c r="K95" s="38">
        <f>MQ!AE95</f>
        <v>0</v>
      </c>
      <c r="Q95" s="102">
        <f t="shared" si="8"/>
        <v>0</v>
      </c>
    </row>
    <row r="96" spans="1:17" ht="26.25" customHeight="1">
      <c r="A96" s="286"/>
      <c r="B96" s="197">
        <v>0.32638888888888901</v>
      </c>
      <c r="C96" s="198"/>
      <c r="D96" s="198"/>
      <c r="E96" s="198"/>
      <c r="F96" s="198"/>
      <c r="G96" s="194">
        <f t="shared" si="5"/>
        <v>0</v>
      </c>
      <c r="H96" s="194">
        <f t="shared" si="6"/>
        <v>0</v>
      </c>
      <c r="I96" s="194">
        <f t="shared" si="7"/>
        <v>0</v>
      </c>
      <c r="J96" s="38">
        <f>MQ!AD96</f>
        <v>0</v>
      </c>
      <c r="K96" s="38">
        <f>MQ!AE96</f>
        <v>0</v>
      </c>
      <c r="Q96" s="102">
        <f t="shared" si="8"/>
        <v>0</v>
      </c>
    </row>
    <row r="97" spans="1:17" ht="26.25" customHeight="1">
      <c r="A97" s="286"/>
      <c r="B97" s="197">
        <v>0.32986111111111099</v>
      </c>
      <c r="C97" s="198"/>
      <c r="D97" s="198"/>
      <c r="E97" s="198"/>
      <c r="F97" s="198"/>
      <c r="G97" s="194">
        <f t="shared" si="5"/>
        <v>0</v>
      </c>
      <c r="H97" s="194">
        <f t="shared" si="6"/>
        <v>0</v>
      </c>
      <c r="I97" s="194">
        <f t="shared" si="7"/>
        <v>0</v>
      </c>
      <c r="J97" s="38">
        <f>MQ!AD97</f>
        <v>0</v>
      </c>
      <c r="K97" s="38">
        <f>MQ!AE97</f>
        <v>0</v>
      </c>
      <c r="Q97" s="102">
        <f t="shared" si="8"/>
        <v>0</v>
      </c>
    </row>
    <row r="98" spans="1:17" ht="26.25" customHeight="1">
      <c r="A98" s="286"/>
      <c r="B98" s="197">
        <v>0.33333333333333298</v>
      </c>
      <c r="C98" s="198"/>
      <c r="D98" s="198"/>
      <c r="E98" s="198"/>
      <c r="F98" s="198"/>
      <c r="G98" s="194">
        <f t="shared" si="5"/>
        <v>0</v>
      </c>
      <c r="H98" s="194">
        <f t="shared" si="6"/>
        <v>0</v>
      </c>
      <c r="I98" s="194">
        <f t="shared" si="7"/>
        <v>0</v>
      </c>
      <c r="J98" s="38">
        <f>MQ!AD98</f>
        <v>0</v>
      </c>
      <c r="K98" s="38">
        <f>MQ!AE98</f>
        <v>0</v>
      </c>
      <c r="Q98" s="102">
        <f t="shared" si="8"/>
        <v>0</v>
      </c>
    </row>
    <row r="99" spans="1:17" ht="26.25" customHeight="1">
      <c r="A99" s="288" t="s">
        <v>10</v>
      </c>
      <c r="B99" s="195">
        <v>0.33680555555555503</v>
      </c>
      <c r="C99" s="196"/>
      <c r="D99" s="196"/>
      <c r="E99" s="196"/>
      <c r="F99" s="196"/>
      <c r="G99" s="194">
        <f t="shared" si="5"/>
        <v>0</v>
      </c>
      <c r="H99" s="194">
        <f t="shared" si="6"/>
        <v>0</v>
      </c>
      <c r="I99" s="194">
        <f t="shared" si="7"/>
        <v>0</v>
      </c>
      <c r="J99" s="38">
        <f>MQ!AD99</f>
        <v>0</v>
      </c>
      <c r="K99" s="38">
        <f>MQ!AE99</f>
        <v>0</v>
      </c>
    </row>
    <row r="100" spans="1:17" ht="26.25" customHeight="1">
      <c r="A100" s="288"/>
      <c r="B100" s="195">
        <v>0.34027777777777801</v>
      </c>
      <c r="C100" s="196"/>
      <c r="D100" s="196"/>
      <c r="E100" s="196"/>
      <c r="F100" s="196"/>
      <c r="G100" s="194">
        <f t="shared" si="5"/>
        <v>0</v>
      </c>
      <c r="H100" s="194">
        <f t="shared" si="6"/>
        <v>0</v>
      </c>
      <c r="I100" s="194">
        <f t="shared" si="7"/>
        <v>0</v>
      </c>
      <c r="J100" s="38">
        <f>MQ!AD100</f>
        <v>0</v>
      </c>
      <c r="K100" s="38">
        <f>MQ!AE100</f>
        <v>0</v>
      </c>
    </row>
    <row r="101" spans="1:17" ht="26.25" customHeight="1">
      <c r="A101" s="288"/>
      <c r="B101" s="195">
        <v>0.34375</v>
      </c>
      <c r="C101" s="196"/>
      <c r="D101" s="196"/>
      <c r="E101" s="196"/>
      <c r="F101" s="196"/>
      <c r="G101" s="194">
        <f t="shared" si="5"/>
        <v>0</v>
      </c>
      <c r="H101" s="194">
        <f t="shared" si="6"/>
        <v>0</v>
      </c>
      <c r="I101" s="194">
        <f t="shared" si="7"/>
        <v>0</v>
      </c>
      <c r="J101" s="38">
        <f>MQ!AD101</f>
        <v>0</v>
      </c>
      <c r="K101" s="38">
        <f>MQ!AE101</f>
        <v>0</v>
      </c>
    </row>
    <row r="102" spans="1:17" ht="26.25" customHeight="1">
      <c r="A102" s="288"/>
      <c r="B102" s="195">
        <v>0.34722222222222199</v>
      </c>
      <c r="C102" s="196"/>
      <c r="D102" s="196"/>
      <c r="E102" s="196"/>
      <c r="F102" s="196"/>
      <c r="G102" s="194">
        <f t="shared" si="5"/>
        <v>0</v>
      </c>
      <c r="H102" s="194">
        <f t="shared" si="6"/>
        <v>0</v>
      </c>
      <c r="I102" s="194">
        <f t="shared" si="7"/>
        <v>0</v>
      </c>
      <c r="J102" s="38">
        <f>MQ!AD102</f>
        <v>0</v>
      </c>
      <c r="K102" s="38">
        <f>MQ!AE102</f>
        <v>0</v>
      </c>
    </row>
    <row r="103" spans="1:17" ht="26.25" customHeight="1">
      <c r="A103" s="288"/>
      <c r="B103" s="195">
        <v>0.35069444444444398</v>
      </c>
      <c r="C103" s="196"/>
      <c r="D103" s="196"/>
      <c r="E103" s="196"/>
      <c r="F103" s="196"/>
      <c r="G103" s="194">
        <f t="shared" si="5"/>
        <v>0</v>
      </c>
      <c r="H103" s="194">
        <f t="shared" si="6"/>
        <v>0</v>
      </c>
      <c r="I103" s="194">
        <f t="shared" si="7"/>
        <v>0</v>
      </c>
      <c r="J103" s="38">
        <f>MQ!AD103</f>
        <v>0</v>
      </c>
      <c r="K103" s="38">
        <f>MQ!AE103</f>
        <v>0</v>
      </c>
    </row>
    <row r="104" spans="1:17" ht="26.25" customHeight="1">
      <c r="A104" s="288"/>
      <c r="B104" s="195">
        <v>0.35416666666666602</v>
      </c>
      <c r="C104" s="196"/>
      <c r="D104" s="196"/>
      <c r="E104" s="196"/>
      <c r="F104" s="196"/>
      <c r="G104" s="194">
        <f t="shared" si="5"/>
        <v>0</v>
      </c>
      <c r="H104" s="194">
        <f t="shared" si="6"/>
        <v>0</v>
      </c>
      <c r="I104" s="194">
        <f t="shared" si="7"/>
        <v>0</v>
      </c>
      <c r="J104" s="38">
        <f>MQ!AD104</f>
        <v>0</v>
      </c>
      <c r="K104" s="38">
        <f>MQ!AE104</f>
        <v>0</v>
      </c>
    </row>
    <row r="105" spans="1:17" ht="26.25" customHeight="1">
      <c r="A105" s="288"/>
      <c r="B105" s="195">
        <v>0.35763888888888901</v>
      </c>
      <c r="C105" s="196"/>
      <c r="D105" s="196"/>
      <c r="E105" s="196"/>
      <c r="F105" s="196"/>
      <c r="G105" s="194">
        <f t="shared" si="5"/>
        <v>0</v>
      </c>
      <c r="H105" s="194">
        <f t="shared" si="6"/>
        <v>0</v>
      </c>
      <c r="I105" s="194">
        <f t="shared" si="7"/>
        <v>0</v>
      </c>
      <c r="J105" s="38">
        <f>MQ!AD105</f>
        <v>0</v>
      </c>
      <c r="K105" s="38">
        <f>MQ!AE105</f>
        <v>0</v>
      </c>
    </row>
    <row r="106" spans="1:17" ht="26.25" customHeight="1">
      <c r="A106" s="288"/>
      <c r="B106" s="195">
        <v>0.36111111111111099</v>
      </c>
      <c r="C106" s="196"/>
      <c r="D106" s="196"/>
      <c r="E106" s="196"/>
      <c r="F106" s="196"/>
      <c r="G106" s="194">
        <f t="shared" si="5"/>
        <v>0</v>
      </c>
      <c r="H106" s="194">
        <f t="shared" si="6"/>
        <v>0</v>
      </c>
      <c r="I106" s="194">
        <f t="shared" si="7"/>
        <v>0</v>
      </c>
      <c r="J106" s="38">
        <f>MQ!AD106</f>
        <v>0</v>
      </c>
      <c r="K106" s="38">
        <f>MQ!AE106</f>
        <v>0</v>
      </c>
    </row>
    <row r="107" spans="1:17" ht="26.25" customHeight="1">
      <c r="A107" s="288"/>
      <c r="B107" s="195">
        <v>0.36458333333333298</v>
      </c>
      <c r="C107" s="196"/>
      <c r="D107" s="196"/>
      <c r="E107" s="196"/>
      <c r="F107" s="196"/>
      <c r="G107" s="194">
        <f t="shared" si="5"/>
        <v>0</v>
      </c>
      <c r="H107" s="194">
        <f t="shared" si="6"/>
        <v>0</v>
      </c>
      <c r="I107" s="194">
        <f t="shared" si="7"/>
        <v>0</v>
      </c>
      <c r="J107" s="38">
        <f>MQ!AD107</f>
        <v>0</v>
      </c>
      <c r="K107" s="38">
        <f>MQ!AE107</f>
        <v>0</v>
      </c>
    </row>
    <row r="108" spans="1:17" ht="26.25" customHeight="1">
      <c r="A108" s="288"/>
      <c r="B108" s="195">
        <v>0.36805555555555503</v>
      </c>
      <c r="C108" s="196"/>
      <c r="D108" s="196"/>
      <c r="E108" s="196"/>
      <c r="F108" s="196"/>
      <c r="G108" s="194">
        <f t="shared" si="5"/>
        <v>0</v>
      </c>
      <c r="H108" s="194">
        <f t="shared" si="6"/>
        <v>0</v>
      </c>
      <c r="I108" s="194">
        <f t="shared" si="7"/>
        <v>0</v>
      </c>
      <c r="J108" s="38">
        <f>MQ!AD108</f>
        <v>0</v>
      </c>
      <c r="K108" s="38">
        <f>MQ!AE108</f>
        <v>0</v>
      </c>
    </row>
    <row r="109" spans="1:17" ht="26.25" customHeight="1">
      <c r="A109" s="288"/>
      <c r="B109" s="195">
        <v>0.37152777777777801</v>
      </c>
      <c r="C109" s="196"/>
      <c r="D109" s="196"/>
      <c r="E109" s="196"/>
      <c r="F109" s="196"/>
      <c r="G109" s="194">
        <f t="shared" si="5"/>
        <v>0</v>
      </c>
      <c r="H109" s="194">
        <f t="shared" si="6"/>
        <v>0</v>
      </c>
      <c r="I109" s="194">
        <f t="shared" si="7"/>
        <v>0</v>
      </c>
      <c r="J109" s="38">
        <f>MQ!AD109</f>
        <v>0</v>
      </c>
      <c r="K109" s="38">
        <f>MQ!AE109</f>
        <v>0</v>
      </c>
    </row>
    <row r="110" spans="1:17" ht="26.25" customHeight="1">
      <c r="A110" s="288"/>
      <c r="B110" s="195">
        <v>0.375</v>
      </c>
      <c r="C110" s="196"/>
      <c r="D110" s="196"/>
      <c r="E110" s="196"/>
      <c r="F110" s="196"/>
      <c r="G110" s="194">
        <f t="shared" si="5"/>
        <v>0</v>
      </c>
      <c r="H110" s="194">
        <f t="shared" si="6"/>
        <v>0</v>
      </c>
      <c r="I110" s="194">
        <f t="shared" si="7"/>
        <v>0</v>
      </c>
      <c r="J110" s="38">
        <f>MQ!AD110</f>
        <v>0</v>
      </c>
      <c r="K110" s="38">
        <f>MQ!AE110</f>
        <v>0</v>
      </c>
    </row>
    <row r="111" spans="1:17" ht="26.25" customHeight="1">
      <c r="A111" s="286" t="s">
        <v>11</v>
      </c>
      <c r="B111" s="197">
        <v>0.37847222222222199</v>
      </c>
      <c r="C111" s="198"/>
      <c r="D111" s="198"/>
      <c r="E111" s="198"/>
      <c r="F111" s="198"/>
      <c r="G111" s="194">
        <f t="shared" si="5"/>
        <v>0</v>
      </c>
      <c r="H111" s="194">
        <f t="shared" si="6"/>
        <v>0</v>
      </c>
      <c r="I111" s="194">
        <f t="shared" si="7"/>
        <v>0</v>
      </c>
      <c r="J111" s="38">
        <f>MQ!AD111</f>
        <v>0</v>
      </c>
      <c r="K111" s="38">
        <f>MQ!AE111</f>
        <v>0</v>
      </c>
    </row>
    <row r="112" spans="1:17" ht="26.25" customHeight="1">
      <c r="A112" s="286"/>
      <c r="B112" s="197">
        <v>0.38194444444444398</v>
      </c>
      <c r="C112" s="198"/>
      <c r="D112" s="198"/>
      <c r="E112" s="198"/>
      <c r="F112" s="198"/>
      <c r="G112" s="194">
        <f t="shared" si="5"/>
        <v>0</v>
      </c>
      <c r="H112" s="194">
        <f t="shared" si="6"/>
        <v>0</v>
      </c>
      <c r="I112" s="194">
        <f t="shared" si="7"/>
        <v>0</v>
      </c>
      <c r="J112" s="38">
        <f>MQ!AD112</f>
        <v>0</v>
      </c>
      <c r="K112" s="38">
        <f>MQ!AE112</f>
        <v>0</v>
      </c>
    </row>
    <row r="113" spans="1:11" ht="26.25" customHeight="1">
      <c r="A113" s="286"/>
      <c r="B113" s="197">
        <v>0.38541666666666602</v>
      </c>
      <c r="C113" s="198"/>
      <c r="D113" s="198"/>
      <c r="E113" s="198"/>
      <c r="F113" s="198"/>
      <c r="G113" s="194">
        <f t="shared" si="5"/>
        <v>0</v>
      </c>
      <c r="H113" s="194">
        <f t="shared" si="6"/>
        <v>0</v>
      </c>
      <c r="I113" s="194">
        <f t="shared" si="7"/>
        <v>0</v>
      </c>
      <c r="J113" s="38">
        <f>MQ!AD113</f>
        <v>0</v>
      </c>
      <c r="K113" s="38">
        <f>MQ!AE113</f>
        <v>0</v>
      </c>
    </row>
    <row r="114" spans="1:11" ht="26.25" customHeight="1">
      <c r="A114" s="286"/>
      <c r="B114" s="197">
        <v>0.38888888888888901</v>
      </c>
      <c r="C114" s="198"/>
      <c r="D114" s="198"/>
      <c r="E114" s="198"/>
      <c r="F114" s="198"/>
      <c r="G114" s="194">
        <f t="shared" si="5"/>
        <v>0</v>
      </c>
      <c r="H114" s="194">
        <f t="shared" si="6"/>
        <v>0</v>
      </c>
      <c r="I114" s="194">
        <f t="shared" si="7"/>
        <v>0</v>
      </c>
      <c r="J114" s="38">
        <f>MQ!AD114</f>
        <v>0</v>
      </c>
      <c r="K114" s="38">
        <f>MQ!AE114</f>
        <v>0</v>
      </c>
    </row>
    <row r="115" spans="1:11" ht="26.25" customHeight="1">
      <c r="A115" s="286"/>
      <c r="B115" s="197">
        <v>0.39236111111111099</v>
      </c>
      <c r="C115" s="198"/>
      <c r="D115" s="198"/>
      <c r="E115" s="198"/>
      <c r="F115" s="198"/>
      <c r="G115" s="194">
        <f t="shared" si="5"/>
        <v>0</v>
      </c>
      <c r="H115" s="194">
        <f t="shared" si="6"/>
        <v>0</v>
      </c>
      <c r="I115" s="194">
        <f t="shared" si="7"/>
        <v>0</v>
      </c>
      <c r="J115" s="38">
        <f>MQ!AD115</f>
        <v>0</v>
      </c>
      <c r="K115" s="38">
        <f>MQ!AE115</f>
        <v>0</v>
      </c>
    </row>
    <row r="116" spans="1:11" ht="26.25" customHeight="1">
      <c r="A116" s="286"/>
      <c r="B116" s="197">
        <v>0.39583333333333298</v>
      </c>
      <c r="C116" s="198"/>
      <c r="D116" s="198"/>
      <c r="E116" s="198"/>
      <c r="F116" s="198"/>
      <c r="G116" s="194">
        <f t="shared" si="5"/>
        <v>0</v>
      </c>
      <c r="H116" s="194">
        <f t="shared" si="6"/>
        <v>0</v>
      </c>
      <c r="I116" s="194">
        <f t="shared" si="7"/>
        <v>0</v>
      </c>
      <c r="J116" s="38">
        <f>MQ!AD116</f>
        <v>0</v>
      </c>
      <c r="K116" s="38">
        <f>MQ!AE116</f>
        <v>0</v>
      </c>
    </row>
    <row r="117" spans="1:11" ht="26.25" customHeight="1">
      <c r="A117" s="286"/>
      <c r="B117" s="197">
        <v>0.39930555555555503</v>
      </c>
      <c r="C117" s="198"/>
      <c r="D117" s="198"/>
      <c r="E117" s="198"/>
      <c r="F117" s="198"/>
      <c r="G117" s="194">
        <f t="shared" si="5"/>
        <v>0</v>
      </c>
      <c r="H117" s="194">
        <f t="shared" si="6"/>
        <v>0</v>
      </c>
      <c r="I117" s="194">
        <f t="shared" si="7"/>
        <v>0</v>
      </c>
      <c r="J117" s="38">
        <f>MQ!AD117</f>
        <v>0</v>
      </c>
      <c r="K117" s="38">
        <f>MQ!AE117</f>
        <v>0</v>
      </c>
    </row>
    <row r="118" spans="1:11" ht="26.25" customHeight="1">
      <c r="A118" s="286"/>
      <c r="B118" s="197">
        <v>0.40277777777777801</v>
      </c>
      <c r="C118" s="198"/>
      <c r="D118" s="198"/>
      <c r="E118" s="198"/>
      <c r="F118" s="198"/>
      <c r="G118" s="194">
        <f t="shared" si="5"/>
        <v>0</v>
      </c>
      <c r="H118" s="194">
        <f t="shared" si="6"/>
        <v>0</v>
      </c>
      <c r="I118" s="194">
        <f t="shared" si="7"/>
        <v>0</v>
      </c>
      <c r="J118" s="38">
        <f>MQ!AD118</f>
        <v>0</v>
      </c>
      <c r="K118" s="38">
        <f>MQ!AE118</f>
        <v>0</v>
      </c>
    </row>
    <row r="119" spans="1:11" ht="26.25" customHeight="1">
      <c r="A119" s="286"/>
      <c r="B119" s="197">
        <v>0.40625</v>
      </c>
      <c r="C119" s="198"/>
      <c r="D119" s="198"/>
      <c r="E119" s="198"/>
      <c r="F119" s="198"/>
      <c r="G119" s="194">
        <f t="shared" si="5"/>
        <v>0</v>
      </c>
      <c r="H119" s="194">
        <f t="shared" si="6"/>
        <v>0</v>
      </c>
      <c r="I119" s="194">
        <f t="shared" si="7"/>
        <v>0</v>
      </c>
      <c r="J119" s="38">
        <f>MQ!AD119</f>
        <v>0</v>
      </c>
      <c r="K119" s="38">
        <f>MQ!AE119</f>
        <v>0</v>
      </c>
    </row>
    <row r="120" spans="1:11" ht="26.25" customHeight="1">
      <c r="A120" s="286"/>
      <c r="B120" s="197">
        <v>0.40972222222222199</v>
      </c>
      <c r="C120" s="198"/>
      <c r="D120" s="198"/>
      <c r="E120" s="198"/>
      <c r="F120" s="198"/>
      <c r="G120" s="194">
        <f t="shared" si="5"/>
        <v>0</v>
      </c>
      <c r="H120" s="194">
        <f t="shared" si="6"/>
        <v>0</v>
      </c>
      <c r="I120" s="194">
        <f t="shared" si="7"/>
        <v>0</v>
      </c>
      <c r="J120" s="38">
        <f>MQ!AD120</f>
        <v>0</v>
      </c>
      <c r="K120" s="38">
        <f>MQ!AE120</f>
        <v>0</v>
      </c>
    </row>
    <row r="121" spans="1:11" ht="26.25" customHeight="1">
      <c r="A121" s="286"/>
      <c r="B121" s="197">
        <v>0.41319444444444398</v>
      </c>
      <c r="C121" s="198"/>
      <c r="D121" s="198"/>
      <c r="E121" s="198"/>
      <c r="F121" s="198"/>
      <c r="G121" s="194">
        <f t="shared" si="5"/>
        <v>0</v>
      </c>
      <c r="H121" s="194">
        <f t="shared" si="6"/>
        <v>0</v>
      </c>
      <c r="I121" s="194">
        <f t="shared" si="7"/>
        <v>0</v>
      </c>
      <c r="J121" s="38">
        <f>MQ!AD121</f>
        <v>0</v>
      </c>
      <c r="K121" s="38">
        <f>MQ!AE121</f>
        <v>0</v>
      </c>
    </row>
    <row r="122" spans="1:11" ht="26.25" customHeight="1">
      <c r="A122" s="286"/>
      <c r="B122" s="197">
        <v>0.41666666666666602</v>
      </c>
      <c r="C122" s="198"/>
      <c r="D122" s="198"/>
      <c r="E122" s="198"/>
      <c r="F122" s="198"/>
      <c r="G122" s="194">
        <f t="shared" si="5"/>
        <v>0</v>
      </c>
      <c r="H122" s="194">
        <f t="shared" si="6"/>
        <v>0</v>
      </c>
      <c r="I122" s="194">
        <f t="shared" si="7"/>
        <v>0</v>
      </c>
      <c r="J122" s="38">
        <f>MQ!AD122</f>
        <v>0</v>
      </c>
      <c r="K122" s="38">
        <f>MQ!AE122</f>
        <v>0</v>
      </c>
    </row>
    <row r="123" spans="1:11" ht="26.25" customHeight="1">
      <c r="A123" s="288" t="s">
        <v>12</v>
      </c>
      <c r="B123" s="195">
        <v>0.42013888888888901</v>
      </c>
      <c r="C123" s="196"/>
      <c r="D123" s="196"/>
      <c r="E123" s="196"/>
      <c r="F123" s="196"/>
      <c r="G123" s="194">
        <f t="shared" si="5"/>
        <v>0</v>
      </c>
      <c r="H123" s="194">
        <f t="shared" si="6"/>
        <v>0</v>
      </c>
      <c r="I123" s="194">
        <f t="shared" si="7"/>
        <v>0</v>
      </c>
      <c r="J123" s="38">
        <f>MQ!AD123</f>
        <v>0</v>
      </c>
      <c r="K123" s="38">
        <f>MQ!AE123</f>
        <v>0</v>
      </c>
    </row>
    <row r="124" spans="1:11" ht="26.25" customHeight="1">
      <c r="A124" s="288"/>
      <c r="B124" s="195">
        <v>0.42361111111111099</v>
      </c>
      <c r="C124" s="196"/>
      <c r="D124" s="196"/>
      <c r="E124" s="196"/>
      <c r="F124" s="196"/>
      <c r="G124" s="194">
        <f t="shared" si="5"/>
        <v>0</v>
      </c>
      <c r="H124" s="194">
        <f t="shared" si="6"/>
        <v>0</v>
      </c>
      <c r="I124" s="194">
        <f t="shared" si="7"/>
        <v>0</v>
      </c>
      <c r="J124" s="38">
        <f>MQ!AD124</f>
        <v>0</v>
      </c>
      <c r="K124" s="38">
        <f>MQ!AE124</f>
        <v>0</v>
      </c>
    </row>
    <row r="125" spans="1:11" ht="26.25" customHeight="1">
      <c r="A125" s="288"/>
      <c r="B125" s="195">
        <v>0.42708333333333298</v>
      </c>
      <c r="C125" s="196"/>
      <c r="D125" s="196"/>
      <c r="E125" s="196"/>
      <c r="F125" s="196"/>
      <c r="G125" s="194">
        <f t="shared" si="5"/>
        <v>0</v>
      </c>
      <c r="H125" s="194">
        <f t="shared" si="6"/>
        <v>0</v>
      </c>
      <c r="I125" s="194">
        <f t="shared" si="7"/>
        <v>0</v>
      </c>
      <c r="J125" s="38">
        <f>MQ!AD125</f>
        <v>0</v>
      </c>
      <c r="K125" s="38">
        <f>MQ!AE125</f>
        <v>0</v>
      </c>
    </row>
    <row r="126" spans="1:11" ht="26.25" customHeight="1">
      <c r="A126" s="288"/>
      <c r="B126" s="195">
        <v>0.43055555555555503</v>
      </c>
      <c r="C126" s="196"/>
      <c r="D126" s="196"/>
      <c r="E126" s="196"/>
      <c r="F126" s="196"/>
      <c r="G126" s="194">
        <f t="shared" si="5"/>
        <v>0</v>
      </c>
      <c r="H126" s="194">
        <f t="shared" si="6"/>
        <v>0</v>
      </c>
      <c r="I126" s="194">
        <f t="shared" si="7"/>
        <v>0</v>
      </c>
      <c r="J126" s="38">
        <f>MQ!AD126</f>
        <v>0</v>
      </c>
      <c r="K126" s="38">
        <f>MQ!AE126</f>
        <v>0</v>
      </c>
    </row>
    <row r="127" spans="1:11" ht="26.25" customHeight="1">
      <c r="A127" s="288"/>
      <c r="B127" s="195">
        <v>0.43402777777777801</v>
      </c>
      <c r="C127" s="196"/>
      <c r="D127" s="196"/>
      <c r="E127" s="196"/>
      <c r="F127" s="196"/>
      <c r="G127" s="194">
        <f t="shared" si="5"/>
        <v>0</v>
      </c>
      <c r="H127" s="194">
        <f t="shared" si="6"/>
        <v>0</v>
      </c>
      <c r="I127" s="194">
        <f t="shared" si="7"/>
        <v>0</v>
      </c>
      <c r="J127" s="38">
        <f>MQ!AD127</f>
        <v>0</v>
      </c>
      <c r="K127" s="38">
        <f>MQ!AE127</f>
        <v>0</v>
      </c>
    </row>
    <row r="128" spans="1:11" ht="26.25" customHeight="1">
      <c r="A128" s="288"/>
      <c r="B128" s="195">
        <v>0.4375</v>
      </c>
      <c r="C128" s="196"/>
      <c r="D128" s="196"/>
      <c r="E128" s="196"/>
      <c r="F128" s="196"/>
      <c r="G128" s="194">
        <f t="shared" si="5"/>
        <v>0</v>
      </c>
      <c r="H128" s="194">
        <f t="shared" si="6"/>
        <v>0</v>
      </c>
      <c r="I128" s="194">
        <f t="shared" si="7"/>
        <v>0</v>
      </c>
      <c r="J128" s="38">
        <f>MQ!AD128</f>
        <v>0</v>
      </c>
      <c r="K128" s="38">
        <f>MQ!AE128</f>
        <v>0</v>
      </c>
    </row>
    <row r="129" spans="1:11" ht="26.25" customHeight="1">
      <c r="A129" s="288"/>
      <c r="B129" s="195">
        <v>0.44097222222222199</v>
      </c>
      <c r="C129" s="196"/>
      <c r="D129" s="196"/>
      <c r="E129" s="196"/>
      <c r="F129" s="196"/>
      <c r="G129" s="194">
        <f t="shared" si="5"/>
        <v>0</v>
      </c>
      <c r="H129" s="194">
        <f t="shared" si="6"/>
        <v>0</v>
      </c>
      <c r="I129" s="194">
        <f t="shared" si="7"/>
        <v>0</v>
      </c>
      <c r="J129" s="38">
        <f>MQ!AD129</f>
        <v>0</v>
      </c>
      <c r="K129" s="38">
        <f>MQ!AE129</f>
        <v>0</v>
      </c>
    </row>
    <row r="130" spans="1:11" ht="26.25" customHeight="1">
      <c r="A130" s="288"/>
      <c r="B130" s="195">
        <v>0.44444444444444398</v>
      </c>
      <c r="C130" s="196"/>
      <c r="D130" s="196"/>
      <c r="E130" s="196"/>
      <c r="F130" s="196"/>
      <c r="G130" s="194">
        <f t="shared" si="5"/>
        <v>0</v>
      </c>
      <c r="H130" s="194">
        <f t="shared" si="6"/>
        <v>0</v>
      </c>
      <c r="I130" s="194">
        <f t="shared" si="7"/>
        <v>0</v>
      </c>
      <c r="J130" s="38">
        <f>MQ!AD130</f>
        <v>0</v>
      </c>
      <c r="K130" s="38">
        <f>MQ!AE130</f>
        <v>0</v>
      </c>
    </row>
    <row r="131" spans="1:11" ht="26.25" customHeight="1">
      <c r="A131" s="288"/>
      <c r="B131" s="195">
        <v>0.44791666666666602</v>
      </c>
      <c r="C131" s="196"/>
      <c r="D131" s="196"/>
      <c r="E131" s="196"/>
      <c r="F131" s="196"/>
      <c r="G131" s="194">
        <f t="shared" si="5"/>
        <v>0</v>
      </c>
      <c r="H131" s="194">
        <f t="shared" si="6"/>
        <v>0</v>
      </c>
      <c r="I131" s="194">
        <f t="shared" si="7"/>
        <v>0</v>
      </c>
      <c r="J131" s="38">
        <f>MQ!AD131</f>
        <v>0</v>
      </c>
      <c r="K131" s="38">
        <f>MQ!AE131</f>
        <v>0</v>
      </c>
    </row>
    <row r="132" spans="1:11" ht="26.25" customHeight="1">
      <c r="A132" s="288"/>
      <c r="B132" s="195">
        <v>0.45138888888888901</v>
      </c>
      <c r="C132" s="196"/>
      <c r="D132" s="196"/>
      <c r="E132" s="196"/>
      <c r="F132" s="196"/>
      <c r="G132" s="194">
        <f t="shared" ref="G132:G195" si="9">C132/12</f>
        <v>0</v>
      </c>
      <c r="H132" s="194">
        <f t="shared" ref="H132:H195" si="10">D132/12</f>
        <v>0</v>
      </c>
      <c r="I132" s="194">
        <f t="shared" ref="I132:I195" si="11">E132/12</f>
        <v>0</v>
      </c>
      <c r="J132" s="38">
        <f>MQ!AD132</f>
        <v>0</v>
      </c>
      <c r="K132" s="38">
        <f>MQ!AE132</f>
        <v>0</v>
      </c>
    </row>
    <row r="133" spans="1:11" ht="26.25" customHeight="1">
      <c r="A133" s="288"/>
      <c r="B133" s="195">
        <v>0.45486111111111099</v>
      </c>
      <c r="C133" s="196"/>
      <c r="D133" s="196"/>
      <c r="E133" s="196"/>
      <c r="F133" s="196"/>
      <c r="G133" s="194">
        <f t="shared" si="9"/>
        <v>0</v>
      </c>
      <c r="H133" s="194">
        <f t="shared" si="10"/>
        <v>0</v>
      </c>
      <c r="I133" s="194">
        <f t="shared" si="11"/>
        <v>0</v>
      </c>
      <c r="J133" s="38">
        <f>MQ!AD133</f>
        <v>0</v>
      </c>
      <c r="K133" s="38">
        <f>MQ!AE133</f>
        <v>0</v>
      </c>
    </row>
    <row r="134" spans="1:11" ht="26.25" customHeight="1">
      <c r="A134" s="288"/>
      <c r="B134" s="195">
        <v>0.45833333333333298</v>
      </c>
      <c r="C134" s="196"/>
      <c r="D134" s="196"/>
      <c r="E134" s="196"/>
      <c r="F134" s="196"/>
      <c r="G134" s="194">
        <f t="shared" si="9"/>
        <v>0</v>
      </c>
      <c r="H134" s="194">
        <f t="shared" si="10"/>
        <v>0</v>
      </c>
      <c r="I134" s="194">
        <f t="shared" si="11"/>
        <v>0</v>
      </c>
      <c r="J134" s="38">
        <f>MQ!AD134</f>
        <v>0</v>
      </c>
      <c r="K134" s="38">
        <f>MQ!AE134</f>
        <v>0</v>
      </c>
    </row>
    <row r="135" spans="1:11" ht="26.25" customHeight="1">
      <c r="A135" s="286" t="s">
        <v>13</v>
      </c>
      <c r="B135" s="197">
        <v>0.46180555555555503</v>
      </c>
      <c r="C135" s="198"/>
      <c r="D135" s="198"/>
      <c r="E135" s="198"/>
      <c r="F135" s="198"/>
      <c r="G135" s="194">
        <f t="shared" si="9"/>
        <v>0</v>
      </c>
      <c r="H135" s="194">
        <f t="shared" si="10"/>
        <v>0</v>
      </c>
      <c r="I135" s="194">
        <f t="shared" si="11"/>
        <v>0</v>
      </c>
      <c r="J135" s="38">
        <f>MQ!AD135</f>
        <v>0</v>
      </c>
      <c r="K135" s="38">
        <f>MQ!AE135</f>
        <v>0</v>
      </c>
    </row>
    <row r="136" spans="1:11" ht="26.25" customHeight="1">
      <c r="A136" s="286"/>
      <c r="B136" s="197">
        <v>0.46527777777777801</v>
      </c>
      <c r="C136" s="198"/>
      <c r="D136" s="198"/>
      <c r="E136" s="198"/>
      <c r="F136" s="198"/>
      <c r="G136" s="194">
        <f t="shared" si="9"/>
        <v>0</v>
      </c>
      <c r="H136" s="194">
        <f t="shared" si="10"/>
        <v>0</v>
      </c>
      <c r="I136" s="194">
        <f t="shared" si="11"/>
        <v>0</v>
      </c>
      <c r="J136" s="38">
        <f>MQ!AD136</f>
        <v>0</v>
      </c>
      <c r="K136" s="38">
        <f>MQ!AE136</f>
        <v>0</v>
      </c>
    </row>
    <row r="137" spans="1:11" ht="26.25" customHeight="1">
      <c r="A137" s="286"/>
      <c r="B137" s="197">
        <v>0.46875</v>
      </c>
      <c r="C137" s="198"/>
      <c r="D137" s="198"/>
      <c r="E137" s="198"/>
      <c r="F137" s="198"/>
      <c r="G137" s="194">
        <f t="shared" si="9"/>
        <v>0</v>
      </c>
      <c r="H137" s="194">
        <f t="shared" si="10"/>
        <v>0</v>
      </c>
      <c r="I137" s="194">
        <f t="shared" si="11"/>
        <v>0</v>
      </c>
      <c r="J137" s="38">
        <f>MQ!AD137</f>
        <v>0</v>
      </c>
      <c r="K137" s="38">
        <f>MQ!AE137</f>
        <v>0</v>
      </c>
    </row>
    <row r="138" spans="1:11" ht="26.25" customHeight="1">
      <c r="A138" s="286"/>
      <c r="B138" s="197">
        <v>0.47222222222222199</v>
      </c>
      <c r="C138" s="198"/>
      <c r="D138" s="198"/>
      <c r="E138" s="198"/>
      <c r="F138" s="198"/>
      <c r="G138" s="194">
        <f t="shared" si="9"/>
        <v>0</v>
      </c>
      <c r="H138" s="194">
        <f t="shared" si="10"/>
        <v>0</v>
      </c>
      <c r="I138" s="194">
        <f t="shared" si="11"/>
        <v>0</v>
      </c>
      <c r="J138" s="38">
        <f>MQ!AD138</f>
        <v>0</v>
      </c>
      <c r="K138" s="38">
        <f>MQ!AE138</f>
        <v>0</v>
      </c>
    </row>
    <row r="139" spans="1:11" ht="26.25" customHeight="1">
      <c r="A139" s="286"/>
      <c r="B139" s="197">
        <v>0.47569444444444398</v>
      </c>
      <c r="C139" s="198"/>
      <c r="D139" s="198"/>
      <c r="E139" s="198"/>
      <c r="F139" s="198"/>
      <c r="G139" s="194">
        <f t="shared" si="9"/>
        <v>0</v>
      </c>
      <c r="H139" s="194">
        <f t="shared" si="10"/>
        <v>0</v>
      </c>
      <c r="I139" s="194">
        <f t="shared" si="11"/>
        <v>0</v>
      </c>
      <c r="J139" s="38">
        <f>MQ!AD139</f>
        <v>0</v>
      </c>
      <c r="K139" s="38">
        <f>MQ!AE139</f>
        <v>0</v>
      </c>
    </row>
    <row r="140" spans="1:11" ht="26.25" customHeight="1">
      <c r="A140" s="286"/>
      <c r="B140" s="197">
        <v>0.47916666666666602</v>
      </c>
      <c r="C140" s="198"/>
      <c r="D140" s="198"/>
      <c r="E140" s="198"/>
      <c r="F140" s="198"/>
      <c r="G140" s="194">
        <f t="shared" si="9"/>
        <v>0</v>
      </c>
      <c r="H140" s="194">
        <f t="shared" si="10"/>
        <v>0</v>
      </c>
      <c r="I140" s="194">
        <f t="shared" si="11"/>
        <v>0</v>
      </c>
      <c r="J140" s="38">
        <f>MQ!AD140</f>
        <v>0</v>
      </c>
      <c r="K140" s="38">
        <f>MQ!AE140</f>
        <v>0</v>
      </c>
    </row>
    <row r="141" spans="1:11" ht="26.25" customHeight="1">
      <c r="A141" s="286"/>
      <c r="B141" s="197">
        <v>0.48263888888888901</v>
      </c>
      <c r="C141" s="198"/>
      <c r="D141" s="198"/>
      <c r="E141" s="198"/>
      <c r="F141" s="198"/>
      <c r="G141" s="194">
        <f t="shared" si="9"/>
        <v>0</v>
      </c>
      <c r="H141" s="194">
        <f t="shared" si="10"/>
        <v>0</v>
      </c>
      <c r="I141" s="194">
        <f t="shared" si="11"/>
        <v>0</v>
      </c>
      <c r="J141" s="38">
        <f>MQ!AD141</f>
        <v>0</v>
      </c>
      <c r="K141" s="38">
        <f>MQ!AE141</f>
        <v>0</v>
      </c>
    </row>
    <row r="142" spans="1:11" ht="26.25" customHeight="1">
      <c r="A142" s="286"/>
      <c r="B142" s="197">
        <v>0.48611111111111099</v>
      </c>
      <c r="C142" s="198"/>
      <c r="D142" s="198"/>
      <c r="E142" s="198"/>
      <c r="F142" s="198"/>
      <c r="G142" s="194">
        <f t="shared" si="9"/>
        <v>0</v>
      </c>
      <c r="H142" s="194">
        <f t="shared" si="10"/>
        <v>0</v>
      </c>
      <c r="I142" s="194">
        <f t="shared" si="11"/>
        <v>0</v>
      </c>
      <c r="J142" s="38">
        <f>MQ!AD142</f>
        <v>0</v>
      </c>
      <c r="K142" s="38">
        <f>MQ!AE142</f>
        <v>0</v>
      </c>
    </row>
    <row r="143" spans="1:11" ht="26.25" customHeight="1">
      <c r="A143" s="286"/>
      <c r="B143" s="197">
        <v>0.48958333333333298</v>
      </c>
      <c r="C143" s="198"/>
      <c r="D143" s="198"/>
      <c r="E143" s="198"/>
      <c r="F143" s="198"/>
      <c r="G143" s="194">
        <f t="shared" si="9"/>
        <v>0</v>
      </c>
      <c r="H143" s="194">
        <f t="shared" si="10"/>
        <v>0</v>
      </c>
      <c r="I143" s="194">
        <f t="shared" si="11"/>
        <v>0</v>
      </c>
      <c r="J143" s="38">
        <f>MQ!AD143</f>
        <v>0</v>
      </c>
      <c r="K143" s="38">
        <f>MQ!AE143</f>
        <v>0</v>
      </c>
    </row>
    <row r="144" spans="1:11" ht="26.25" customHeight="1">
      <c r="A144" s="286"/>
      <c r="B144" s="197">
        <v>0.49305555555555503</v>
      </c>
      <c r="C144" s="198"/>
      <c r="D144" s="198"/>
      <c r="E144" s="198"/>
      <c r="F144" s="198"/>
      <c r="G144" s="194">
        <f t="shared" si="9"/>
        <v>0</v>
      </c>
      <c r="H144" s="194">
        <f t="shared" si="10"/>
        <v>0</v>
      </c>
      <c r="I144" s="194">
        <f t="shared" si="11"/>
        <v>0</v>
      </c>
      <c r="J144" s="38">
        <f>MQ!AD144</f>
        <v>0</v>
      </c>
      <c r="K144" s="38">
        <f>MQ!AE144</f>
        <v>0</v>
      </c>
    </row>
    <row r="145" spans="1:11" ht="26.25" customHeight="1">
      <c r="A145" s="286"/>
      <c r="B145" s="197">
        <v>0.49652777777777801</v>
      </c>
      <c r="C145" s="198"/>
      <c r="D145" s="198"/>
      <c r="E145" s="198"/>
      <c r="F145" s="198"/>
      <c r="G145" s="194">
        <f t="shared" si="9"/>
        <v>0</v>
      </c>
      <c r="H145" s="194">
        <f t="shared" si="10"/>
        <v>0</v>
      </c>
      <c r="I145" s="194">
        <f t="shared" si="11"/>
        <v>0</v>
      </c>
      <c r="J145" s="38">
        <f>MQ!AD145</f>
        <v>0</v>
      </c>
      <c r="K145" s="38">
        <f>MQ!AE145</f>
        <v>0</v>
      </c>
    </row>
    <row r="146" spans="1:11" ht="26.25" customHeight="1">
      <c r="A146" s="286"/>
      <c r="B146" s="197">
        <v>0.5</v>
      </c>
      <c r="C146" s="198"/>
      <c r="D146" s="198"/>
      <c r="E146" s="198"/>
      <c r="F146" s="198"/>
      <c r="G146" s="194">
        <f t="shared" si="9"/>
        <v>0</v>
      </c>
      <c r="H146" s="194">
        <f t="shared" si="10"/>
        <v>0</v>
      </c>
      <c r="I146" s="194">
        <f t="shared" si="11"/>
        <v>0</v>
      </c>
      <c r="J146" s="38">
        <f>MQ!AD146</f>
        <v>0</v>
      </c>
      <c r="K146" s="38">
        <f>MQ!AE146</f>
        <v>0</v>
      </c>
    </row>
    <row r="147" spans="1:11" ht="26.25" customHeight="1">
      <c r="A147" s="288" t="s">
        <v>14</v>
      </c>
      <c r="B147" s="195">
        <v>0.50347222222222199</v>
      </c>
      <c r="C147" s="196"/>
      <c r="D147" s="196"/>
      <c r="E147" s="196"/>
      <c r="F147" s="196"/>
      <c r="G147" s="194">
        <f t="shared" si="9"/>
        <v>0</v>
      </c>
      <c r="H147" s="194">
        <f t="shared" si="10"/>
        <v>0</v>
      </c>
      <c r="I147" s="194">
        <f t="shared" si="11"/>
        <v>0</v>
      </c>
      <c r="J147" s="38">
        <f>MQ!AD147</f>
        <v>0</v>
      </c>
      <c r="K147" s="38">
        <f>MQ!AE147</f>
        <v>0</v>
      </c>
    </row>
    <row r="148" spans="1:11" ht="26.25" customHeight="1">
      <c r="A148" s="288"/>
      <c r="B148" s="195">
        <v>0.50694444444444398</v>
      </c>
      <c r="C148" s="196"/>
      <c r="D148" s="196"/>
      <c r="E148" s="196"/>
      <c r="F148" s="196"/>
      <c r="G148" s="194">
        <f t="shared" si="9"/>
        <v>0</v>
      </c>
      <c r="H148" s="194">
        <f t="shared" si="10"/>
        <v>0</v>
      </c>
      <c r="I148" s="194">
        <f t="shared" si="11"/>
        <v>0</v>
      </c>
      <c r="J148" s="38">
        <f>MQ!AD148</f>
        <v>0</v>
      </c>
      <c r="K148" s="38">
        <f>MQ!AE148</f>
        <v>0</v>
      </c>
    </row>
    <row r="149" spans="1:11" ht="26.25" customHeight="1">
      <c r="A149" s="288"/>
      <c r="B149" s="195">
        <v>0.51041666666666596</v>
      </c>
      <c r="C149" s="196"/>
      <c r="D149" s="196"/>
      <c r="E149" s="196"/>
      <c r="F149" s="196"/>
      <c r="G149" s="194">
        <f t="shared" si="9"/>
        <v>0</v>
      </c>
      <c r="H149" s="194">
        <f t="shared" si="10"/>
        <v>0</v>
      </c>
      <c r="I149" s="194">
        <f t="shared" si="11"/>
        <v>0</v>
      </c>
      <c r="J149" s="38">
        <f>MQ!AD149</f>
        <v>0</v>
      </c>
      <c r="K149" s="38">
        <f>MQ!AE149</f>
        <v>0</v>
      </c>
    </row>
    <row r="150" spans="1:11" ht="26.25" customHeight="1">
      <c r="A150" s="288"/>
      <c r="B150" s="195">
        <v>0.51388888888888895</v>
      </c>
      <c r="C150" s="196"/>
      <c r="D150" s="196"/>
      <c r="E150" s="196"/>
      <c r="F150" s="196"/>
      <c r="G150" s="194">
        <f t="shared" si="9"/>
        <v>0</v>
      </c>
      <c r="H150" s="194">
        <f t="shared" si="10"/>
        <v>0</v>
      </c>
      <c r="I150" s="194">
        <f t="shared" si="11"/>
        <v>0</v>
      </c>
      <c r="J150" s="38">
        <f>MQ!AD150</f>
        <v>0</v>
      </c>
      <c r="K150" s="38">
        <f>MQ!AE150</f>
        <v>0</v>
      </c>
    </row>
    <row r="151" spans="1:11" ht="26.25" customHeight="1">
      <c r="A151" s="288"/>
      <c r="B151" s="195">
        <v>0.51736111111111105</v>
      </c>
      <c r="C151" s="196"/>
      <c r="D151" s="196"/>
      <c r="E151" s="196"/>
      <c r="F151" s="196"/>
      <c r="G151" s="194">
        <f t="shared" si="9"/>
        <v>0</v>
      </c>
      <c r="H151" s="194">
        <f t="shared" si="10"/>
        <v>0</v>
      </c>
      <c r="I151" s="194">
        <f t="shared" si="11"/>
        <v>0</v>
      </c>
      <c r="J151" s="38">
        <f>MQ!AD151</f>
        <v>0</v>
      </c>
      <c r="K151" s="38">
        <f>MQ!AE151</f>
        <v>0</v>
      </c>
    </row>
    <row r="152" spans="1:11" ht="26.25" customHeight="1">
      <c r="A152" s="288"/>
      <c r="B152" s="195">
        <v>0.52083333333333304</v>
      </c>
      <c r="C152" s="196"/>
      <c r="D152" s="196"/>
      <c r="E152" s="196"/>
      <c r="F152" s="196"/>
      <c r="G152" s="194">
        <f t="shared" si="9"/>
        <v>0</v>
      </c>
      <c r="H152" s="194">
        <f t="shared" si="10"/>
        <v>0</v>
      </c>
      <c r="I152" s="194">
        <f t="shared" si="11"/>
        <v>0</v>
      </c>
      <c r="J152" s="38">
        <f>MQ!AD152</f>
        <v>0</v>
      </c>
      <c r="K152" s="38">
        <f>MQ!AE152</f>
        <v>0</v>
      </c>
    </row>
    <row r="153" spans="1:11" ht="26.25" customHeight="1">
      <c r="A153" s="288"/>
      <c r="B153" s="195">
        <v>0.52430555555555503</v>
      </c>
      <c r="C153" s="196"/>
      <c r="D153" s="196"/>
      <c r="E153" s="196"/>
      <c r="F153" s="196"/>
      <c r="G153" s="194">
        <f t="shared" si="9"/>
        <v>0</v>
      </c>
      <c r="H153" s="194">
        <f t="shared" si="10"/>
        <v>0</v>
      </c>
      <c r="I153" s="194">
        <f t="shared" si="11"/>
        <v>0</v>
      </c>
      <c r="J153" s="38">
        <f>MQ!AD153</f>
        <v>0</v>
      </c>
      <c r="K153" s="38">
        <f>MQ!AE153</f>
        <v>0</v>
      </c>
    </row>
    <row r="154" spans="1:11" ht="26.25" customHeight="1">
      <c r="A154" s="288"/>
      <c r="B154" s="195">
        <v>0.52777777777777801</v>
      </c>
      <c r="C154" s="196"/>
      <c r="D154" s="196"/>
      <c r="E154" s="196"/>
      <c r="F154" s="196"/>
      <c r="G154" s="194">
        <f t="shared" si="9"/>
        <v>0</v>
      </c>
      <c r="H154" s="194">
        <f t="shared" si="10"/>
        <v>0</v>
      </c>
      <c r="I154" s="194">
        <f t="shared" si="11"/>
        <v>0</v>
      </c>
      <c r="J154" s="38">
        <f>MQ!AD154</f>
        <v>0</v>
      </c>
      <c r="K154" s="38">
        <f>MQ!AE154</f>
        <v>0</v>
      </c>
    </row>
    <row r="155" spans="1:11" ht="26.25" customHeight="1">
      <c r="A155" s="288"/>
      <c r="B155" s="195">
        <v>0.53125</v>
      </c>
      <c r="C155" s="196"/>
      <c r="D155" s="196"/>
      <c r="E155" s="196"/>
      <c r="F155" s="196"/>
      <c r="G155" s="194">
        <f t="shared" si="9"/>
        <v>0</v>
      </c>
      <c r="H155" s="194">
        <f t="shared" si="10"/>
        <v>0</v>
      </c>
      <c r="I155" s="194">
        <f t="shared" si="11"/>
        <v>0</v>
      </c>
      <c r="J155" s="38">
        <f>MQ!AD155</f>
        <v>0</v>
      </c>
      <c r="K155" s="38">
        <f>MQ!AE155</f>
        <v>0</v>
      </c>
    </row>
    <row r="156" spans="1:11" ht="26.25" customHeight="1">
      <c r="A156" s="288"/>
      <c r="B156" s="195">
        <v>0.53472222222222199</v>
      </c>
      <c r="C156" s="196"/>
      <c r="D156" s="196"/>
      <c r="E156" s="196"/>
      <c r="F156" s="196"/>
      <c r="G156" s="194">
        <f t="shared" si="9"/>
        <v>0</v>
      </c>
      <c r="H156" s="194">
        <f t="shared" si="10"/>
        <v>0</v>
      </c>
      <c r="I156" s="194">
        <f t="shared" si="11"/>
        <v>0</v>
      </c>
      <c r="J156" s="38">
        <f>MQ!AD156</f>
        <v>0</v>
      </c>
      <c r="K156" s="38">
        <f>MQ!AE156</f>
        <v>0</v>
      </c>
    </row>
    <row r="157" spans="1:11" ht="26.25" customHeight="1">
      <c r="A157" s="288"/>
      <c r="B157" s="195">
        <v>0.53819444444444398</v>
      </c>
      <c r="C157" s="196"/>
      <c r="D157" s="196"/>
      <c r="E157" s="196"/>
      <c r="F157" s="196"/>
      <c r="G157" s="194">
        <f t="shared" si="9"/>
        <v>0</v>
      </c>
      <c r="H157" s="194">
        <f t="shared" si="10"/>
        <v>0</v>
      </c>
      <c r="I157" s="194">
        <f t="shared" si="11"/>
        <v>0</v>
      </c>
      <c r="J157" s="38">
        <f>MQ!AD157</f>
        <v>0</v>
      </c>
      <c r="K157" s="38">
        <f>MQ!AE157</f>
        <v>0</v>
      </c>
    </row>
    <row r="158" spans="1:11" ht="26.25" customHeight="1">
      <c r="A158" s="288"/>
      <c r="B158" s="195">
        <v>0.54166666666666596</v>
      </c>
      <c r="C158" s="196"/>
      <c r="D158" s="196"/>
      <c r="E158" s="196"/>
      <c r="F158" s="196"/>
      <c r="G158" s="194">
        <f t="shared" si="9"/>
        <v>0</v>
      </c>
      <c r="H158" s="194">
        <f t="shared" si="10"/>
        <v>0</v>
      </c>
      <c r="I158" s="194">
        <f t="shared" si="11"/>
        <v>0</v>
      </c>
      <c r="J158" s="38">
        <f>MQ!AD158</f>
        <v>0</v>
      </c>
      <c r="K158" s="38">
        <f>MQ!AE158</f>
        <v>0</v>
      </c>
    </row>
    <row r="159" spans="1:11" ht="26.25" customHeight="1">
      <c r="A159" s="286" t="s">
        <v>15</v>
      </c>
      <c r="B159" s="197">
        <v>0.54513888888888895</v>
      </c>
      <c r="C159" s="198"/>
      <c r="D159" s="198"/>
      <c r="E159" s="198"/>
      <c r="F159" s="198"/>
      <c r="G159" s="194">
        <f t="shared" si="9"/>
        <v>0</v>
      </c>
      <c r="H159" s="194">
        <f t="shared" si="10"/>
        <v>0</v>
      </c>
      <c r="I159" s="194">
        <f t="shared" si="11"/>
        <v>0</v>
      </c>
      <c r="J159" s="38">
        <f>MQ!AD159</f>
        <v>0</v>
      </c>
      <c r="K159" s="38">
        <f>MQ!AE159</f>
        <v>0</v>
      </c>
    </row>
    <row r="160" spans="1:11" ht="26.25" customHeight="1">
      <c r="A160" s="286"/>
      <c r="B160" s="197">
        <v>0.54861111111111105</v>
      </c>
      <c r="C160" s="198"/>
      <c r="D160" s="198"/>
      <c r="E160" s="198"/>
      <c r="F160" s="198"/>
      <c r="G160" s="194">
        <f t="shared" si="9"/>
        <v>0</v>
      </c>
      <c r="H160" s="194">
        <f t="shared" si="10"/>
        <v>0</v>
      </c>
      <c r="I160" s="194">
        <f t="shared" si="11"/>
        <v>0</v>
      </c>
      <c r="J160" s="38">
        <f>MQ!AD160</f>
        <v>0</v>
      </c>
      <c r="K160" s="38">
        <f>MQ!AE160</f>
        <v>0</v>
      </c>
    </row>
    <row r="161" spans="1:11" ht="26.25" customHeight="1">
      <c r="A161" s="286"/>
      <c r="B161" s="197">
        <v>0.55208333333333304</v>
      </c>
      <c r="C161" s="198"/>
      <c r="D161" s="198"/>
      <c r="E161" s="198"/>
      <c r="F161" s="198"/>
      <c r="G161" s="194">
        <f t="shared" si="9"/>
        <v>0</v>
      </c>
      <c r="H161" s="194">
        <f t="shared" si="10"/>
        <v>0</v>
      </c>
      <c r="I161" s="194">
        <f t="shared" si="11"/>
        <v>0</v>
      </c>
      <c r="J161" s="38">
        <f>MQ!AD161</f>
        <v>0</v>
      </c>
      <c r="K161" s="38">
        <f>MQ!AE161</f>
        <v>0</v>
      </c>
    </row>
    <row r="162" spans="1:11" ht="26.25" customHeight="1">
      <c r="A162" s="286"/>
      <c r="B162" s="197">
        <v>0.55555555555555503</v>
      </c>
      <c r="C162" s="198"/>
      <c r="D162" s="198"/>
      <c r="E162" s="198"/>
      <c r="F162" s="198"/>
      <c r="G162" s="194">
        <f t="shared" si="9"/>
        <v>0</v>
      </c>
      <c r="H162" s="194">
        <f t="shared" si="10"/>
        <v>0</v>
      </c>
      <c r="I162" s="194">
        <f t="shared" si="11"/>
        <v>0</v>
      </c>
      <c r="J162" s="38">
        <f>MQ!AD162</f>
        <v>0</v>
      </c>
      <c r="K162" s="38">
        <f>MQ!AE162</f>
        <v>0</v>
      </c>
    </row>
    <row r="163" spans="1:11" ht="26.25" customHeight="1">
      <c r="A163" s="286"/>
      <c r="B163" s="197">
        <v>0.55902777777777801</v>
      </c>
      <c r="C163" s="198"/>
      <c r="D163" s="198"/>
      <c r="E163" s="198"/>
      <c r="F163" s="198"/>
      <c r="G163" s="194">
        <f t="shared" si="9"/>
        <v>0</v>
      </c>
      <c r="H163" s="194">
        <f t="shared" si="10"/>
        <v>0</v>
      </c>
      <c r="I163" s="194">
        <f t="shared" si="11"/>
        <v>0</v>
      </c>
      <c r="J163" s="38">
        <f>MQ!AD163</f>
        <v>0</v>
      </c>
      <c r="K163" s="38">
        <f>MQ!AE163</f>
        <v>0</v>
      </c>
    </row>
    <row r="164" spans="1:11" ht="26.25" customHeight="1">
      <c r="A164" s="286"/>
      <c r="B164" s="197">
        <v>0.5625</v>
      </c>
      <c r="C164" s="198"/>
      <c r="D164" s="198"/>
      <c r="E164" s="198"/>
      <c r="F164" s="198"/>
      <c r="G164" s="194">
        <f t="shared" si="9"/>
        <v>0</v>
      </c>
      <c r="H164" s="194">
        <f t="shared" si="10"/>
        <v>0</v>
      </c>
      <c r="I164" s="194">
        <f t="shared" si="11"/>
        <v>0</v>
      </c>
      <c r="J164" s="38">
        <f>MQ!AD164</f>
        <v>0</v>
      </c>
      <c r="K164" s="38">
        <f>MQ!AE164</f>
        <v>0</v>
      </c>
    </row>
    <row r="165" spans="1:11" ht="26.25" customHeight="1">
      <c r="A165" s="286"/>
      <c r="B165" s="197">
        <v>0.56597222222222199</v>
      </c>
      <c r="C165" s="198"/>
      <c r="D165" s="198"/>
      <c r="E165" s="198"/>
      <c r="F165" s="198"/>
      <c r="G165" s="194">
        <f t="shared" si="9"/>
        <v>0</v>
      </c>
      <c r="H165" s="194">
        <f t="shared" si="10"/>
        <v>0</v>
      </c>
      <c r="I165" s="194">
        <f t="shared" si="11"/>
        <v>0</v>
      </c>
      <c r="J165" s="38">
        <f>MQ!AD165</f>
        <v>0</v>
      </c>
      <c r="K165" s="38">
        <f>MQ!AE165</f>
        <v>0</v>
      </c>
    </row>
    <row r="166" spans="1:11" ht="26.25" customHeight="1">
      <c r="A166" s="286"/>
      <c r="B166" s="197">
        <v>0.56944444444444398</v>
      </c>
      <c r="C166" s="198"/>
      <c r="D166" s="198"/>
      <c r="E166" s="198"/>
      <c r="F166" s="198"/>
      <c r="G166" s="194">
        <f t="shared" si="9"/>
        <v>0</v>
      </c>
      <c r="H166" s="194">
        <f t="shared" si="10"/>
        <v>0</v>
      </c>
      <c r="I166" s="194">
        <f t="shared" si="11"/>
        <v>0</v>
      </c>
      <c r="J166" s="38">
        <f>MQ!AD166</f>
        <v>0</v>
      </c>
      <c r="K166" s="38">
        <f>MQ!AE166</f>
        <v>0</v>
      </c>
    </row>
    <row r="167" spans="1:11" ht="26.25" customHeight="1">
      <c r="A167" s="286"/>
      <c r="B167" s="197">
        <v>0.57291666666666596</v>
      </c>
      <c r="C167" s="198"/>
      <c r="D167" s="198"/>
      <c r="E167" s="198"/>
      <c r="F167" s="198"/>
      <c r="G167" s="194">
        <f t="shared" si="9"/>
        <v>0</v>
      </c>
      <c r="H167" s="194">
        <f t="shared" si="10"/>
        <v>0</v>
      </c>
      <c r="I167" s="194">
        <f t="shared" si="11"/>
        <v>0</v>
      </c>
      <c r="J167" s="38">
        <f>MQ!AD167</f>
        <v>0</v>
      </c>
      <c r="K167" s="38">
        <f>MQ!AE167</f>
        <v>0</v>
      </c>
    </row>
    <row r="168" spans="1:11" ht="26.25" customHeight="1">
      <c r="A168" s="286"/>
      <c r="B168" s="197">
        <v>0.57638888888888895</v>
      </c>
      <c r="C168" s="198"/>
      <c r="D168" s="198"/>
      <c r="E168" s="198"/>
      <c r="F168" s="198"/>
      <c r="G168" s="194">
        <f t="shared" si="9"/>
        <v>0</v>
      </c>
      <c r="H168" s="194">
        <f t="shared" si="10"/>
        <v>0</v>
      </c>
      <c r="I168" s="194">
        <f t="shared" si="11"/>
        <v>0</v>
      </c>
      <c r="J168" s="38">
        <f>MQ!AD168</f>
        <v>0</v>
      </c>
      <c r="K168" s="38">
        <f>MQ!AE168</f>
        <v>0</v>
      </c>
    </row>
    <row r="169" spans="1:11" ht="26.25" customHeight="1">
      <c r="A169" s="286"/>
      <c r="B169" s="197">
        <v>0.57986111111111105</v>
      </c>
      <c r="C169" s="198"/>
      <c r="D169" s="198"/>
      <c r="E169" s="198"/>
      <c r="F169" s="198"/>
      <c r="G169" s="194">
        <f t="shared" si="9"/>
        <v>0</v>
      </c>
      <c r="H169" s="194">
        <f t="shared" si="10"/>
        <v>0</v>
      </c>
      <c r="I169" s="194">
        <f t="shared" si="11"/>
        <v>0</v>
      </c>
      <c r="J169" s="38">
        <f>MQ!AD169</f>
        <v>0</v>
      </c>
      <c r="K169" s="38">
        <f>MQ!AE169</f>
        <v>0</v>
      </c>
    </row>
    <row r="170" spans="1:11" ht="26.25" customHeight="1">
      <c r="A170" s="286"/>
      <c r="B170" s="197">
        <v>0.58333333333333304</v>
      </c>
      <c r="C170" s="198"/>
      <c r="D170" s="198"/>
      <c r="E170" s="198"/>
      <c r="F170" s="198"/>
      <c r="G170" s="194">
        <f t="shared" si="9"/>
        <v>0</v>
      </c>
      <c r="H170" s="194">
        <f t="shared" si="10"/>
        <v>0</v>
      </c>
      <c r="I170" s="194">
        <f t="shared" si="11"/>
        <v>0</v>
      </c>
      <c r="J170" s="38">
        <f>MQ!AD170</f>
        <v>0</v>
      </c>
      <c r="K170" s="38">
        <f>MQ!AE170</f>
        <v>0</v>
      </c>
    </row>
    <row r="171" spans="1:11" ht="26.25" customHeight="1">
      <c r="A171" s="288" t="s">
        <v>16</v>
      </c>
      <c r="B171" s="195">
        <v>0.58680555555555503</v>
      </c>
      <c r="C171" s="196"/>
      <c r="D171" s="196"/>
      <c r="E171" s="196"/>
      <c r="F171" s="196"/>
      <c r="G171" s="194">
        <f t="shared" si="9"/>
        <v>0</v>
      </c>
      <c r="H171" s="194">
        <f t="shared" si="10"/>
        <v>0</v>
      </c>
      <c r="I171" s="194">
        <f t="shared" si="11"/>
        <v>0</v>
      </c>
      <c r="J171" s="38">
        <f>MQ!AD171</f>
        <v>0</v>
      </c>
      <c r="K171" s="38">
        <f>MQ!AE171</f>
        <v>0</v>
      </c>
    </row>
    <row r="172" spans="1:11" ht="26.25" customHeight="1">
      <c r="A172" s="288"/>
      <c r="B172" s="195">
        <v>0.59027777777777701</v>
      </c>
      <c r="C172" s="196"/>
      <c r="D172" s="196"/>
      <c r="E172" s="196"/>
      <c r="F172" s="196"/>
      <c r="G172" s="194">
        <f t="shared" si="9"/>
        <v>0</v>
      </c>
      <c r="H172" s="194">
        <f t="shared" si="10"/>
        <v>0</v>
      </c>
      <c r="I172" s="194">
        <f t="shared" si="11"/>
        <v>0</v>
      </c>
      <c r="J172" s="38">
        <f>MQ!AD172</f>
        <v>0</v>
      </c>
      <c r="K172" s="38">
        <f>MQ!AE172</f>
        <v>0</v>
      </c>
    </row>
    <row r="173" spans="1:11" ht="26.25" customHeight="1">
      <c r="A173" s="288"/>
      <c r="B173" s="195">
        <v>0.59375</v>
      </c>
      <c r="C173" s="196"/>
      <c r="D173" s="196"/>
      <c r="E173" s="196"/>
      <c r="F173" s="196"/>
      <c r="G173" s="194">
        <f t="shared" si="9"/>
        <v>0</v>
      </c>
      <c r="H173" s="194">
        <f t="shared" si="10"/>
        <v>0</v>
      </c>
      <c r="I173" s="194">
        <f t="shared" si="11"/>
        <v>0</v>
      </c>
      <c r="J173" s="38">
        <f>MQ!AD173</f>
        <v>0</v>
      </c>
      <c r="K173" s="38">
        <f>MQ!AE173</f>
        <v>0</v>
      </c>
    </row>
    <row r="174" spans="1:11" ht="26.25" customHeight="1">
      <c r="A174" s="288"/>
      <c r="B174" s="195">
        <v>0.59722222222222199</v>
      </c>
      <c r="C174" s="196"/>
      <c r="D174" s="196"/>
      <c r="E174" s="196"/>
      <c r="F174" s="196"/>
      <c r="G174" s="194">
        <f t="shared" si="9"/>
        <v>0</v>
      </c>
      <c r="H174" s="194">
        <f t="shared" si="10"/>
        <v>0</v>
      </c>
      <c r="I174" s="194">
        <f t="shared" si="11"/>
        <v>0</v>
      </c>
      <c r="J174" s="38">
        <f>MQ!AD174</f>
        <v>0</v>
      </c>
      <c r="K174" s="38">
        <f>MQ!AE174</f>
        <v>0</v>
      </c>
    </row>
    <row r="175" spans="1:11" ht="26.25" customHeight="1">
      <c r="A175" s="288"/>
      <c r="B175" s="195">
        <v>0.60069444444444398</v>
      </c>
      <c r="C175" s="196"/>
      <c r="D175" s="196"/>
      <c r="E175" s="196"/>
      <c r="F175" s="196"/>
      <c r="G175" s="194">
        <f t="shared" si="9"/>
        <v>0</v>
      </c>
      <c r="H175" s="194">
        <f t="shared" si="10"/>
        <v>0</v>
      </c>
      <c r="I175" s="194">
        <f t="shared" si="11"/>
        <v>0</v>
      </c>
      <c r="J175" s="38">
        <f>MQ!AD175</f>
        <v>0</v>
      </c>
      <c r="K175" s="38">
        <f>MQ!AE175</f>
        <v>0</v>
      </c>
    </row>
    <row r="176" spans="1:11" ht="26.25" customHeight="1">
      <c r="A176" s="288"/>
      <c r="B176" s="195">
        <v>0.60416666666666596</v>
      </c>
      <c r="C176" s="196"/>
      <c r="D176" s="196"/>
      <c r="E176" s="196"/>
      <c r="F176" s="196"/>
      <c r="G176" s="194">
        <f t="shared" si="9"/>
        <v>0</v>
      </c>
      <c r="H176" s="194">
        <f t="shared" si="10"/>
        <v>0</v>
      </c>
      <c r="I176" s="194">
        <f t="shared" si="11"/>
        <v>0</v>
      </c>
      <c r="J176" s="38">
        <f>MQ!AD176</f>
        <v>0</v>
      </c>
      <c r="K176" s="38">
        <f>MQ!AE176</f>
        <v>0</v>
      </c>
    </row>
    <row r="177" spans="1:11" ht="26.25" customHeight="1">
      <c r="A177" s="288"/>
      <c r="B177" s="195">
        <v>0.60763888888888895</v>
      </c>
      <c r="C177" s="196"/>
      <c r="D177" s="196"/>
      <c r="E177" s="196"/>
      <c r="F177" s="196"/>
      <c r="G177" s="194">
        <f t="shared" si="9"/>
        <v>0</v>
      </c>
      <c r="H177" s="194">
        <f t="shared" si="10"/>
        <v>0</v>
      </c>
      <c r="I177" s="194">
        <f t="shared" si="11"/>
        <v>0</v>
      </c>
      <c r="J177" s="38">
        <f>MQ!AD177</f>
        <v>0</v>
      </c>
      <c r="K177" s="38">
        <f>MQ!AE177</f>
        <v>0</v>
      </c>
    </row>
    <row r="178" spans="1:11" ht="26.25" customHeight="1">
      <c r="A178" s="288"/>
      <c r="B178" s="195">
        <v>0.61111111111111105</v>
      </c>
      <c r="C178" s="196"/>
      <c r="D178" s="196"/>
      <c r="E178" s="196"/>
      <c r="F178" s="196"/>
      <c r="G178" s="194">
        <f t="shared" si="9"/>
        <v>0</v>
      </c>
      <c r="H178" s="194">
        <f t="shared" si="10"/>
        <v>0</v>
      </c>
      <c r="I178" s="194">
        <f t="shared" si="11"/>
        <v>0</v>
      </c>
      <c r="J178" s="38">
        <f>MQ!AD178</f>
        <v>0</v>
      </c>
      <c r="K178" s="38">
        <f>MQ!AE178</f>
        <v>0</v>
      </c>
    </row>
    <row r="179" spans="1:11" ht="26.25" customHeight="1">
      <c r="A179" s="288"/>
      <c r="B179" s="195">
        <v>0.61458333333333304</v>
      </c>
      <c r="C179" s="196"/>
      <c r="D179" s="196"/>
      <c r="E179" s="196"/>
      <c r="F179" s="196"/>
      <c r="G179" s="194">
        <f t="shared" si="9"/>
        <v>0</v>
      </c>
      <c r="H179" s="194">
        <f t="shared" si="10"/>
        <v>0</v>
      </c>
      <c r="I179" s="194">
        <f t="shared" si="11"/>
        <v>0</v>
      </c>
      <c r="J179" s="38">
        <f>MQ!AD179</f>
        <v>0</v>
      </c>
      <c r="K179" s="38">
        <f>MQ!AE179</f>
        <v>0</v>
      </c>
    </row>
    <row r="180" spans="1:11" ht="26.25" customHeight="1">
      <c r="A180" s="288"/>
      <c r="B180" s="195">
        <v>0.61805555555555503</v>
      </c>
      <c r="C180" s="196"/>
      <c r="D180" s="196"/>
      <c r="E180" s="196"/>
      <c r="F180" s="196"/>
      <c r="G180" s="194">
        <f t="shared" si="9"/>
        <v>0</v>
      </c>
      <c r="H180" s="194">
        <f t="shared" si="10"/>
        <v>0</v>
      </c>
      <c r="I180" s="194">
        <f t="shared" si="11"/>
        <v>0</v>
      </c>
      <c r="J180" s="38">
        <f>MQ!AD180</f>
        <v>0</v>
      </c>
      <c r="K180" s="38">
        <f>MQ!AE180</f>
        <v>0</v>
      </c>
    </row>
    <row r="181" spans="1:11" ht="26.25" customHeight="1">
      <c r="A181" s="288"/>
      <c r="B181" s="195">
        <v>0.62152777777777701</v>
      </c>
      <c r="C181" s="196"/>
      <c r="D181" s="196"/>
      <c r="E181" s="196"/>
      <c r="F181" s="196"/>
      <c r="G181" s="194">
        <f t="shared" si="9"/>
        <v>0</v>
      </c>
      <c r="H181" s="194">
        <f t="shared" si="10"/>
        <v>0</v>
      </c>
      <c r="I181" s="194">
        <f t="shared" si="11"/>
        <v>0</v>
      </c>
      <c r="J181" s="38">
        <f>MQ!AD181</f>
        <v>0</v>
      </c>
      <c r="K181" s="38">
        <f>MQ!AE181</f>
        <v>0</v>
      </c>
    </row>
    <row r="182" spans="1:11" ht="26.25" customHeight="1">
      <c r="A182" s="288"/>
      <c r="B182" s="195">
        <v>0.625</v>
      </c>
      <c r="C182" s="196"/>
      <c r="D182" s="196"/>
      <c r="E182" s="196"/>
      <c r="F182" s="196"/>
      <c r="G182" s="194">
        <f t="shared" si="9"/>
        <v>0</v>
      </c>
      <c r="H182" s="194">
        <f t="shared" si="10"/>
        <v>0</v>
      </c>
      <c r="I182" s="194">
        <f t="shared" si="11"/>
        <v>0</v>
      </c>
      <c r="J182" s="38">
        <f>MQ!AD182</f>
        <v>0</v>
      </c>
      <c r="K182" s="38">
        <f>MQ!AE182</f>
        <v>0</v>
      </c>
    </row>
    <row r="183" spans="1:11" ht="26.25" customHeight="1">
      <c r="A183" s="286" t="s">
        <v>17</v>
      </c>
      <c r="B183" s="197">
        <v>0.62847222222222199</v>
      </c>
      <c r="C183" s="198"/>
      <c r="D183" s="198"/>
      <c r="E183" s="198"/>
      <c r="F183" s="198"/>
      <c r="G183" s="194">
        <f t="shared" si="9"/>
        <v>0</v>
      </c>
      <c r="H183" s="194">
        <f t="shared" si="10"/>
        <v>0</v>
      </c>
      <c r="I183" s="194">
        <f t="shared" si="11"/>
        <v>0</v>
      </c>
      <c r="J183" s="38">
        <f>MQ!AD183</f>
        <v>0</v>
      </c>
      <c r="K183" s="38">
        <f>MQ!AE183</f>
        <v>0</v>
      </c>
    </row>
    <row r="184" spans="1:11" ht="26.25" customHeight="1">
      <c r="A184" s="286"/>
      <c r="B184" s="197">
        <v>0.63194444444444398</v>
      </c>
      <c r="C184" s="198"/>
      <c r="D184" s="198"/>
      <c r="E184" s="198"/>
      <c r="F184" s="198"/>
      <c r="G184" s="194">
        <f t="shared" si="9"/>
        <v>0</v>
      </c>
      <c r="H184" s="194">
        <f t="shared" si="10"/>
        <v>0</v>
      </c>
      <c r="I184" s="194">
        <f t="shared" si="11"/>
        <v>0</v>
      </c>
      <c r="J184" s="38">
        <f>MQ!AD184</f>
        <v>0</v>
      </c>
      <c r="K184" s="38">
        <f>MQ!AE184</f>
        <v>0</v>
      </c>
    </row>
    <row r="185" spans="1:11" ht="26.25" customHeight="1">
      <c r="A185" s="286"/>
      <c r="B185" s="197">
        <v>0.63541666666666596</v>
      </c>
      <c r="C185" s="198"/>
      <c r="D185" s="198"/>
      <c r="E185" s="198"/>
      <c r="F185" s="198"/>
      <c r="G185" s="194">
        <f t="shared" si="9"/>
        <v>0</v>
      </c>
      <c r="H185" s="194">
        <f t="shared" si="10"/>
        <v>0</v>
      </c>
      <c r="I185" s="194">
        <f t="shared" si="11"/>
        <v>0</v>
      </c>
      <c r="J185" s="38">
        <f>MQ!AD185</f>
        <v>0</v>
      </c>
      <c r="K185" s="38">
        <f>MQ!AE185</f>
        <v>0</v>
      </c>
    </row>
    <row r="186" spans="1:11" ht="26.25" customHeight="1">
      <c r="A186" s="286"/>
      <c r="B186" s="197">
        <v>0.63888888888888895</v>
      </c>
      <c r="C186" s="198"/>
      <c r="D186" s="198"/>
      <c r="E186" s="198"/>
      <c r="F186" s="198"/>
      <c r="G186" s="194">
        <f t="shared" si="9"/>
        <v>0</v>
      </c>
      <c r="H186" s="194">
        <f t="shared" si="10"/>
        <v>0</v>
      </c>
      <c r="I186" s="194">
        <f t="shared" si="11"/>
        <v>0</v>
      </c>
      <c r="J186" s="38">
        <f>MQ!AD186</f>
        <v>0</v>
      </c>
      <c r="K186" s="38">
        <f>MQ!AE186</f>
        <v>0</v>
      </c>
    </row>
    <row r="187" spans="1:11" ht="26.25" customHeight="1">
      <c r="A187" s="286"/>
      <c r="B187" s="197">
        <v>0.64236111111111105</v>
      </c>
      <c r="C187" s="198"/>
      <c r="D187" s="198"/>
      <c r="E187" s="198"/>
      <c r="F187" s="198"/>
      <c r="G187" s="194">
        <f t="shared" si="9"/>
        <v>0</v>
      </c>
      <c r="H187" s="194">
        <f t="shared" si="10"/>
        <v>0</v>
      </c>
      <c r="I187" s="194">
        <f t="shared" si="11"/>
        <v>0</v>
      </c>
      <c r="J187" s="38">
        <f>MQ!AD187</f>
        <v>0</v>
      </c>
      <c r="K187" s="38">
        <f>MQ!AE187</f>
        <v>0</v>
      </c>
    </row>
    <row r="188" spans="1:11" ht="26.25" customHeight="1">
      <c r="A188" s="286"/>
      <c r="B188" s="197">
        <v>0.64583333333333304</v>
      </c>
      <c r="C188" s="198"/>
      <c r="D188" s="198"/>
      <c r="E188" s="198"/>
      <c r="F188" s="198"/>
      <c r="G188" s="194">
        <f t="shared" si="9"/>
        <v>0</v>
      </c>
      <c r="H188" s="194">
        <f t="shared" si="10"/>
        <v>0</v>
      </c>
      <c r="I188" s="194">
        <f t="shared" si="11"/>
        <v>0</v>
      </c>
      <c r="J188" s="38">
        <f>MQ!AD188</f>
        <v>0</v>
      </c>
      <c r="K188" s="38">
        <f>MQ!AE188</f>
        <v>0</v>
      </c>
    </row>
    <row r="189" spans="1:11" ht="26.25" customHeight="1">
      <c r="A189" s="286"/>
      <c r="B189" s="197">
        <v>0.64930555555555503</v>
      </c>
      <c r="C189" s="198"/>
      <c r="D189" s="198"/>
      <c r="E189" s="198"/>
      <c r="F189" s="198"/>
      <c r="G189" s="194">
        <f t="shared" si="9"/>
        <v>0</v>
      </c>
      <c r="H189" s="194">
        <f t="shared" si="10"/>
        <v>0</v>
      </c>
      <c r="I189" s="194">
        <f t="shared" si="11"/>
        <v>0</v>
      </c>
      <c r="J189" s="38">
        <f>MQ!AD189</f>
        <v>0</v>
      </c>
      <c r="K189" s="38">
        <f>MQ!AE189</f>
        <v>0</v>
      </c>
    </row>
    <row r="190" spans="1:11" ht="26.25" customHeight="1">
      <c r="A190" s="286"/>
      <c r="B190" s="197">
        <v>0.65277777777777701</v>
      </c>
      <c r="C190" s="198"/>
      <c r="D190" s="198"/>
      <c r="E190" s="198"/>
      <c r="F190" s="198"/>
      <c r="G190" s="194">
        <f t="shared" si="9"/>
        <v>0</v>
      </c>
      <c r="H190" s="194">
        <f t="shared" si="10"/>
        <v>0</v>
      </c>
      <c r="I190" s="194">
        <f t="shared" si="11"/>
        <v>0</v>
      </c>
      <c r="J190" s="38">
        <f>MQ!AD190</f>
        <v>0</v>
      </c>
      <c r="K190" s="38">
        <f>MQ!AE190</f>
        <v>0</v>
      </c>
    </row>
    <row r="191" spans="1:11" ht="26.25" customHeight="1">
      <c r="A191" s="286"/>
      <c r="B191" s="197">
        <v>0.65625</v>
      </c>
      <c r="C191" s="198"/>
      <c r="D191" s="198"/>
      <c r="E191" s="198"/>
      <c r="F191" s="198"/>
      <c r="G191" s="194">
        <f t="shared" si="9"/>
        <v>0</v>
      </c>
      <c r="H191" s="194">
        <f t="shared" si="10"/>
        <v>0</v>
      </c>
      <c r="I191" s="194">
        <f t="shared" si="11"/>
        <v>0</v>
      </c>
      <c r="J191" s="38">
        <f>MQ!AD191</f>
        <v>0</v>
      </c>
      <c r="K191" s="38">
        <f>MQ!AE191</f>
        <v>0</v>
      </c>
    </row>
    <row r="192" spans="1:11" ht="26.25" customHeight="1">
      <c r="A192" s="286"/>
      <c r="B192" s="197">
        <v>0.65972222222222199</v>
      </c>
      <c r="C192" s="198"/>
      <c r="D192" s="198"/>
      <c r="E192" s="198"/>
      <c r="F192" s="198"/>
      <c r="G192" s="194">
        <f t="shared" si="9"/>
        <v>0</v>
      </c>
      <c r="H192" s="194">
        <f t="shared" si="10"/>
        <v>0</v>
      </c>
      <c r="I192" s="194">
        <f t="shared" si="11"/>
        <v>0</v>
      </c>
      <c r="J192" s="38">
        <f>MQ!AD192</f>
        <v>0</v>
      </c>
      <c r="K192" s="38">
        <f>MQ!AE192</f>
        <v>0</v>
      </c>
    </row>
    <row r="193" spans="1:11" ht="26.25" customHeight="1">
      <c r="A193" s="286"/>
      <c r="B193" s="197">
        <v>0.66319444444444398</v>
      </c>
      <c r="C193" s="198"/>
      <c r="D193" s="198"/>
      <c r="E193" s="198"/>
      <c r="F193" s="198"/>
      <c r="G193" s="194">
        <f t="shared" si="9"/>
        <v>0</v>
      </c>
      <c r="H193" s="194">
        <f t="shared" si="10"/>
        <v>0</v>
      </c>
      <c r="I193" s="194">
        <f t="shared" si="11"/>
        <v>0</v>
      </c>
      <c r="J193" s="38">
        <f>MQ!AD193</f>
        <v>0</v>
      </c>
      <c r="K193" s="38">
        <f>MQ!AE193</f>
        <v>0</v>
      </c>
    </row>
    <row r="194" spans="1:11" ht="26.25" customHeight="1">
      <c r="A194" s="286"/>
      <c r="B194" s="197">
        <v>0.66666666666666596</v>
      </c>
      <c r="C194" s="198"/>
      <c r="D194" s="198"/>
      <c r="E194" s="198"/>
      <c r="F194" s="198"/>
      <c r="G194" s="194">
        <f t="shared" si="9"/>
        <v>0</v>
      </c>
      <c r="H194" s="194">
        <f t="shared" si="10"/>
        <v>0</v>
      </c>
      <c r="I194" s="194">
        <f t="shared" si="11"/>
        <v>0</v>
      </c>
      <c r="J194" s="38">
        <f>MQ!AD194</f>
        <v>0</v>
      </c>
      <c r="K194" s="38">
        <f>MQ!AE194</f>
        <v>0</v>
      </c>
    </row>
    <row r="195" spans="1:11" ht="26.25" customHeight="1">
      <c r="A195" s="288" t="s">
        <v>18</v>
      </c>
      <c r="B195" s="195">
        <v>0.67013888888888895</v>
      </c>
      <c r="C195" s="196"/>
      <c r="D195" s="196"/>
      <c r="E195" s="196"/>
      <c r="F195" s="196"/>
      <c r="G195" s="194">
        <f t="shared" si="9"/>
        <v>0</v>
      </c>
      <c r="H195" s="194">
        <f t="shared" si="10"/>
        <v>0</v>
      </c>
      <c r="I195" s="194">
        <f t="shared" si="11"/>
        <v>0</v>
      </c>
      <c r="J195" s="38">
        <f>MQ!AD195</f>
        <v>0</v>
      </c>
      <c r="K195" s="38">
        <f>MQ!AE195</f>
        <v>0</v>
      </c>
    </row>
    <row r="196" spans="1:11" ht="26.25" customHeight="1">
      <c r="A196" s="288"/>
      <c r="B196" s="195">
        <v>0.67361111111111105</v>
      </c>
      <c r="C196" s="196"/>
      <c r="D196" s="196"/>
      <c r="E196" s="196"/>
      <c r="F196" s="196"/>
      <c r="G196" s="194">
        <f t="shared" ref="G196:G259" si="12">C196/12</f>
        <v>0</v>
      </c>
      <c r="H196" s="194">
        <f t="shared" ref="H196:H259" si="13">D196/12</f>
        <v>0</v>
      </c>
      <c r="I196" s="194">
        <f t="shared" ref="I196:I259" si="14">E196/12</f>
        <v>0</v>
      </c>
      <c r="J196" s="38">
        <f>MQ!AD196</f>
        <v>0</v>
      </c>
      <c r="K196" s="38">
        <f>MQ!AE196</f>
        <v>0</v>
      </c>
    </row>
    <row r="197" spans="1:11" ht="26.25" customHeight="1">
      <c r="A197" s="288"/>
      <c r="B197" s="195">
        <v>0.67708333333333304</v>
      </c>
      <c r="C197" s="196"/>
      <c r="D197" s="196"/>
      <c r="E197" s="196"/>
      <c r="F197" s="196"/>
      <c r="G197" s="194">
        <f t="shared" si="12"/>
        <v>0</v>
      </c>
      <c r="H197" s="194">
        <f t="shared" si="13"/>
        <v>0</v>
      </c>
      <c r="I197" s="194">
        <f t="shared" si="14"/>
        <v>0</v>
      </c>
      <c r="J197" s="38">
        <f>MQ!AD197</f>
        <v>0</v>
      </c>
      <c r="K197" s="38">
        <f>MQ!AE197</f>
        <v>0</v>
      </c>
    </row>
    <row r="198" spans="1:11" ht="26.25" customHeight="1">
      <c r="A198" s="288"/>
      <c r="B198" s="195">
        <v>0.68055555555555503</v>
      </c>
      <c r="C198" s="196"/>
      <c r="D198" s="196"/>
      <c r="E198" s="196"/>
      <c r="F198" s="196"/>
      <c r="G198" s="194">
        <f t="shared" si="12"/>
        <v>0</v>
      </c>
      <c r="H198" s="194">
        <f t="shared" si="13"/>
        <v>0</v>
      </c>
      <c r="I198" s="194">
        <f t="shared" si="14"/>
        <v>0</v>
      </c>
      <c r="J198" s="38">
        <f>MQ!AD198</f>
        <v>0</v>
      </c>
      <c r="K198" s="38">
        <f>MQ!AE198</f>
        <v>0</v>
      </c>
    </row>
    <row r="199" spans="1:11" ht="26.25" customHeight="1">
      <c r="A199" s="288"/>
      <c r="B199" s="195">
        <v>0.68402777777777701</v>
      </c>
      <c r="C199" s="196"/>
      <c r="D199" s="196"/>
      <c r="E199" s="196"/>
      <c r="F199" s="196"/>
      <c r="G199" s="194">
        <f t="shared" si="12"/>
        <v>0</v>
      </c>
      <c r="H199" s="194">
        <f t="shared" si="13"/>
        <v>0</v>
      </c>
      <c r="I199" s="194">
        <f t="shared" si="14"/>
        <v>0</v>
      </c>
      <c r="J199" s="38">
        <f>MQ!AD199</f>
        <v>0</v>
      </c>
      <c r="K199" s="38">
        <f>MQ!AE199</f>
        <v>0</v>
      </c>
    </row>
    <row r="200" spans="1:11" ht="26.25" customHeight="1">
      <c r="A200" s="288"/>
      <c r="B200" s="195">
        <v>0.6875</v>
      </c>
      <c r="C200" s="196"/>
      <c r="D200" s="196"/>
      <c r="E200" s="196"/>
      <c r="F200" s="196"/>
      <c r="G200" s="194">
        <f t="shared" si="12"/>
        <v>0</v>
      </c>
      <c r="H200" s="194">
        <f t="shared" si="13"/>
        <v>0</v>
      </c>
      <c r="I200" s="194">
        <f t="shared" si="14"/>
        <v>0</v>
      </c>
      <c r="J200" s="38">
        <f>MQ!AD200</f>
        <v>0</v>
      </c>
      <c r="K200" s="38">
        <f>MQ!AE200</f>
        <v>0</v>
      </c>
    </row>
    <row r="201" spans="1:11" ht="26.25" customHeight="1">
      <c r="A201" s="288"/>
      <c r="B201" s="195">
        <v>0.69097222222222199</v>
      </c>
      <c r="C201" s="196"/>
      <c r="D201" s="196"/>
      <c r="E201" s="196"/>
      <c r="F201" s="196"/>
      <c r="G201" s="194">
        <f t="shared" si="12"/>
        <v>0</v>
      </c>
      <c r="H201" s="194">
        <f t="shared" si="13"/>
        <v>0</v>
      </c>
      <c r="I201" s="194">
        <f t="shared" si="14"/>
        <v>0</v>
      </c>
      <c r="J201" s="38">
        <f>MQ!AD201</f>
        <v>0</v>
      </c>
      <c r="K201" s="38">
        <f>MQ!AE201</f>
        <v>0</v>
      </c>
    </row>
    <row r="202" spans="1:11" ht="26.25" customHeight="1">
      <c r="A202" s="288"/>
      <c r="B202" s="195">
        <v>0.69444444444444398</v>
      </c>
      <c r="C202" s="196"/>
      <c r="D202" s="196"/>
      <c r="E202" s="196"/>
      <c r="F202" s="196"/>
      <c r="G202" s="194">
        <f t="shared" si="12"/>
        <v>0</v>
      </c>
      <c r="H202" s="194">
        <f t="shared" si="13"/>
        <v>0</v>
      </c>
      <c r="I202" s="194">
        <f t="shared" si="14"/>
        <v>0</v>
      </c>
      <c r="J202" s="38">
        <f>MQ!AD202</f>
        <v>0</v>
      </c>
      <c r="K202" s="38">
        <f>MQ!AE202</f>
        <v>0</v>
      </c>
    </row>
    <row r="203" spans="1:11" ht="26.25" customHeight="1">
      <c r="A203" s="288"/>
      <c r="B203" s="195">
        <v>0.69791666666666596</v>
      </c>
      <c r="C203" s="196"/>
      <c r="D203" s="196"/>
      <c r="E203" s="196"/>
      <c r="F203" s="196"/>
      <c r="G203" s="194">
        <f t="shared" si="12"/>
        <v>0</v>
      </c>
      <c r="H203" s="194">
        <f t="shared" si="13"/>
        <v>0</v>
      </c>
      <c r="I203" s="194">
        <f t="shared" si="14"/>
        <v>0</v>
      </c>
      <c r="J203" s="38">
        <f>MQ!AD203</f>
        <v>0</v>
      </c>
      <c r="K203" s="38">
        <f>MQ!AE203</f>
        <v>0</v>
      </c>
    </row>
    <row r="204" spans="1:11" ht="26.25" customHeight="1">
      <c r="A204" s="288"/>
      <c r="B204" s="195">
        <v>0.70138888888888895</v>
      </c>
      <c r="C204" s="196"/>
      <c r="D204" s="196"/>
      <c r="E204" s="196"/>
      <c r="F204" s="196"/>
      <c r="G204" s="194">
        <f t="shared" si="12"/>
        <v>0</v>
      </c>
      <c r="H204" s="194">
        <f t="shared" si="13"/>
        <v>0</v>
      </c>
      <c r="I204" s="194">
        <f t="shared" si="14"/>
        <v>0</v>
      </c>
      <c r="J204" s="38">
        <f>MQ!AD204</f>
        <v>0</v>
      </c>
      <c r="K204" s="38">
        <f>MQ!AE204</f>
        <v>0</v>
      </c>
    </row>
    <row r="205" spans="1:11" ht="26.25" customHeight="1">
      <c r="A205" s="288"/>
      <c r="B205" s="195">
        <v>0.70486111111111105</v>
      </c>
      <c r="C205" s="196"/>
      <c r="D205" s="196"/>
      <c r="E205" s="196"/>
      <c r="F205" s="196"/>
      <c r="G205" s="194">
        <f t="shared" si="12"/>
        <v>0</v>
      </c>
      <c r="H205" s="194">
        <f t="shared" si="13"/>
        <v>0</v>
      </c>
      <c r="I205" s="194">
        <f t="shared" si="14"/>
        <v>0</v>
      </c>
      <c r="J205" s="38">
        <f>MQ!AD205</f>
        <v>0</v>
      </c>
      <c r="K205" s="38">
        <f>MQ!AE205</f>
        <v>0</v>
      </c>
    </row>
    <row r="206" spans="1:11" ht="26.25" customHeight="1">
      <c r="A206" s="288"/>
      <c r="B206" s="195">
        <v>0.70833333333333304</v>
      </c>
      <c r="C206" s="196"/>
      <c r="D206" s="196"/>
      <c r="E206" s="196"/>
      <c r="F206" s="196"/>
      <c r="G206" s="194">
        <f t="shared" si="12"/>
        <v>0</v>
      </c>
      <c r="H206" s="194">
        <f t="shared" si="13"/>
        <v>0</v>
      </c>
      <c r="I206" s="194">
        <f t="shared" si="14"/>
        <v>0</v>
      </c>
      <c r="J206" s="38">
        <f>MQ!AD206</f>
        <v>0</v>
      </c>
      <c r="K206" s="38">
        <f>MQ!AE206</f>
        <v>0</v>
      </c>
    </row>
    <row r="207" spans="1:11" ht="26.25" customHeight="1">
      <c r="A207" s="286" t="s">
        <v>19</v>
      </c>
      <c r="B207" s="197">
        <v>0.71180555555555503</v>
      </c>
      <c r="C207" s="198"/>
      <c r="D207" s="198"/>
      <c r="E207" s="198"/>
      <c r="F207" s="198"/>
      <c r="G207" s="194">
        <f t="shared" si="12"/>
        <v>0</v>
      </c>
      <c r="H207" s="194">
        <f t="shared" si="13"/>
        <v>0</v>
      </c>
      <c r="I207" s="194">
        <f t="shared" si="14"/>
        <v>0</v>
      </c>
      <c r="J207" s="38">
        <f>MQ!AD207</f>
        <v>0</v>
      </c>
      <c r="K207" s="38">
        <f>MQ!AE207</f>
        <v>0</v>
      </c>
    </row>
    <row r="208" spans="1:11" ht="26.25" customHeight="1">
      <c r="A208" s="286"/>
      <c r="B208" s="197">
        <v>0.71527777777777701</v>
      </c>
      <c r="C208" s="198"/>
      <c r="D208" s="198"/>
      <c r="E208" s="198"/>
      <c r="F208" s="198"/>
      <c r="G208" s="194">
        <f t="shared" si="12"/>
        <v>0</v>
      </c>
      <c r="H208" s="194">
        <f t="shared" si="13"/>
        <v>0</v>
      </c>
      <c r="I208" s="194">
        <f t="shared" si="14"/>
        <v>0</v>
      </c>
      <c r="J208" s="38">
        <f>MQ!AD208</f>
        <v>0</v>
      </c>
      <c r="K208" s="38">
        <f>MQ!AE208</f>
        <v>0</v>
      </c>
    </row>
    <row r="209" spans="1:11" ht="26.25" customHeight="1">
      <c r="A209" s="286"/>
      <c r="B209" s="197">
        <v>0.71875</v>
      </c>
      <c r="C209" s="198"/>
      <c r="D209" s="198"/>
      <c r="E209" s="198"/>
      <c r="F209" s="198"/>
      <c r="G209" s="194">
        <f t="shared" si="12"/>
        <v>0</v>
      </c>
      <c r="H209" s="194">
        <f t="shared" si="13"/>
        <v>0</v>
      </c>
      <c r="I209" s="194">
        <f t="shared" si="14"/>
        <v>0</v>
      </c>
      <c r="J209" s="38">
        <f>MQ!AD209</f>
        <v>0</v>
      </c>
      <c r="K209" s="38">
        <f>MQ!AE209</f>
        <v>0</v>
      </c>
    </row>
    <row r="210" spans="1:11" ht="26.25" customHeight="1">
      <c r="A210" s="286"/>
      <c r="B210" s="197">
        <v>0.72222222222222199</v>
      </c>
      <c r="C210" s="198"/>
      <c r="D210" s="198"/>
      <c r="E210" s="198"/>
      <c r="F210" s="198"/>
      <c r="G210" s="194">
        <f t="shared" si="12"/>
        <v>0</v>
      </c>
      <c r="H210" s="194">
        <f t="shared" si="13"/>
        <v>0</v>
      </c>
      <c r="I210" s="194">
        <f t="shared" si="14"/>
        <v>0</v>
      </c>
      <c r="J210" s="38">
        <f>MQ!AD210</f>
        <v>0</v>
      </c>
      <c r="K210" s="38">
        <f>MQ!AE210</f>
        <v>0</v>
      </c>
    </row>
    <row r="211" spans="1:11" ht="26.25" customHeight="1">
      <c r="A211" s="286"/>
      <c r="B211" s="197">
        <v>0.72569444444444398</v>
      </c>
      <c r="C211" s="198"/>
      <c r="D211" s="198"/>
      <c r="E211" s="198"/>
      <c r="F211" s="198"/>
      <c r="G211" s="194">
        <f t="shared" si="12"/>
        <v>0</v>
      </c>
      <c r="H211" s="194">
        <f t="shared" si="13"/>
        <v>0</v>
      </c>
      <c r="I211" s="194">
        <f t="shared" si="14"/>
        <v>0</v>
      </c>
      <c r="J211" s="38">
        <f>MQ!AD211</f>
        <v>0</v>
      </c>
      <c r="K211" s="38">
        <f>MQ!AE211</f>
        <v>0</v>
      </c>
    </row>
    <row r="212" spans="1:11" ht="26.25" customHeight="1">
      <c r="A212" s="286"/>
      <c r="B212" s="197">
        <v>0.72916666666666596</v>
      </c>
      <c r="C212" s="198"/>
      <c r="D212" s="198"/>
      <c r="E212" s="198"/>
      <c r="F212" s="198"/>
      <c r="G212" s="194">
        <f t="shared" si="12"/>
        <v>0</v>
      </c>
      <c r="H212" s="194">
        <f t="shared" si="13"/>
        <v>0</v>
      </c>
      <c r="I212" s="194">
        <f t="shared" si="14"/>
        <v>0</v>
      </c>
      <c r="J212" s="38">
        <f>MQ!AD212</f>
        <v>0</v>
      </c>
      <c r="K212" s="38">
        <f>MQ!AE212</f>
        <v>0</v>
      </c>
    </row>
    <row r="213" spans="1:11" ht="26.25" customHeight="1">
      <c r="A213" s="286"/>
      <c r="B213" s="197">
        <v>0.73263888888888895</v>
      </c>
      <c r="C213" s="198"/>
      <c r="D213" s="198"/>
      <c r="E213" s="198"/>
      <c r="F213" s="198"/>
      <c r="G213" s="194">
        <f t="shared" si="12"/>
        <v>0</v>
      </c>
      <c r="H213" s="194">
        <f t="shared" si="13"/>
        <v>0</v>
      </c>
      <c r="I213" s="194">
        <f t="shared" si="14"/>
        <v>0</v>
      </c>
      <c r="J213" s="38">
        <f>MQ!AD213</f>
        <v>0</v>
      </c>
      <c r="K213" s="38">
        <f>MQ!AE213</f>
        <v>0</v>
      </c>
    </row>
    <row r="214" spans="1:11" ht="26.25" customHeight="1">
      <c r="A214" s="286"/>
      <c r="B214" s="197">
        <v>0.73611111111111105</v>
      </c>
      <c r="C214" s="198"/>
      <c r="D214" s="198"/>
      <c r="E214" s="198"/>
      <c r="F214" s="198"/>
      <c r="G214" s="194">
        <f t="shared" si="12"/>
        <v>0</v>
      </c>
      <c r="H214" s="194">
        <f t="shared" si="13"/>
        <v>0</v>
      </c>
      <c r="I214" s="194">
        <f t="shared" si="14"/>
        <v>0</v>
      </c>
      <c r="J214" s="38">
        <f>MQ!AD214</f>
        <v>0</v>
      </c>
      <c r="K214" s="38">
        <f>MQ!AE214</f>
        <v>0</v>
      </c>
    </row>
    <row r="215" spans="1:11" ht="26.25" customHeight="1">
      <c r="A215" s="286"/>
      <c r="B215" s="197">
        <v>0.73958333333333304</v>
      </c>
      <c r="C215" s="198"/>
      <c r="D215" s="198"/>
      <c r="E215" s="198"/>
      <c r="F215" s="198"/>
      <c r="G215" s="194">
        <f t="shared" si="12"/>
        <v>0</v>
      </c>
      <c r="H215" s="194">
        <f t="shared" si="13"/>
        <v>0</v>
      </c>
      <c r="I215" s="194">
        <f t="shared" si="14"/>
        <v>0</v>
      </c>
      <c r="J215" s="38">
        <f>MQ!AD215</f>
        <v>0</v>
      </c>
      <c r="K215" s="38">
        <f>MQ!AE215</f>
        <v>0</v>
      </c>
    </row>
    <row r="216" spans="1:11" ht="26.25" customHeight="1">
      <c r="A216" s="286"/>
      <c r="B216" s="197">
        <v>0.74305555555555503</v>
      </c>
      <c r="C216" s="198"/>
      <c r="D216" s="198"/>
      <c r="E216" s="198"/>
      <c r="F216" s="198"/>
      <c r="G216" s="194">
        <f t="shared" si="12"/>
        <v>0</v>
      </c>
      <c r="H216" s="194">
        <f t="shared" si="13"/>
        <v>0</v>
      </c>
      <c r="I216" s="194">
        <f t="shared" si="14"/>
        <v>0</v>
      </c>
      <c r="J216" s="38">
        <f>MQ!AD216</f>
        <v>0</v>
      </c>
      <c r="K216" s="38">
        <f>MQ!AE216</f>
        <v>0</v>
      </c>
    </row>
    <row r="217" spans="1:11" ht="26.25" customHeight="1">
      <c r="A217" s="286"/>
      <c r="B217" s="197">
        <v>0.74652777777777701</v>
      </c>
      <c r="C217" s="198"/>
      <c r="D217" s="198"/>
      <c r="E217" s="198"/>
      <c r="F217" s="198"/>
      <c r="G217" s="194">
        <f t="shared" si="12"/>
        <v>0</v>
      </c>
      <c r="H217" s="194">
        <f t="shared" si="13"/>
        <v>0</v>
      </c>
      <c r="I217" s="194">
        <f t="shared" si="14"/>
        <v>0</v>
      </c>
      <c r="J217" s="38">
        <f>MQ!AD217</f>
        <v>0</v>
      </c>
      <c r="K217" s="38">
        <f>MQ!AE217</f>
        <v>0</v>
      </c>
    </row>
    <row r="218" spans="1:11" ht="26.25" customHeight="1">
      <c r="A218" s="286"/>
      <c r="B218" s="197">
        <v>0.75</v>
      </c>
      <c r="C218" s="198"/>
      <c r="D218" s="198"/>
      <c r="E218" s="198"/>
      <c r="F218" s="198"/>
      <c r="G218" s="194">
        <f t="shared" si="12"/>
        <v>0</v>
      </c>
      <c r="H218" s="194">
        <f t="shared" si="13"/>
        <v>0</v>
      </c>
      <c r="I218" s="194">
        <f t="shared" si="14"/>
        <v>0</v>
      </c>
      <c r="J218" s="38">
        <f>MQ!AD218</f>
        <v>0</v>
      </c>
      <c r="K218" s="38">
        <f>MQ!AE218</f>
        <v>0</v>
      </c>
    </row>
    <row r="219" spans="1:11" ht="26.25" customHeight="1">
      <c r="A219" s="288" t="s">
        <v>20</v>
      </c>
      <c r="B219" s="195">
        <v>0.75347222222222199</v>
      </c>
      <c r="C219" s="196"/>
      <c r="D219" s="196"/>
      <c r="E219" s="196"/>
      <c r="F219" s="196"/>
      <c r="G219" s="194">
        <f t="shared" si="12"/>
        <v>0</v>
      </c>
      <c r="H219" s="194">
        <f t="shared" si="13"/>
        <v>0</v>
      </c>
      <c r="I219" s="194">
        <f t="shared" si="14"/>
        <v>0</v>
      </c>
      <c r="J219" s="38">
        <f>MQ!AD219</f>
        <v>0</v>
      </c>
      <c r="K219" s="38">
        <f>MQ!AE219</f>
        <v>0</v>
      </c>
    </row>
    <row r="220" spans="1:11" ht="26.25" customHeight="1">
      <c r="A220" s="288"/>
      <c r="B220" s="195">
        <v>0.75694444444444398</v>
      </c>
      <c r="C220" s="196"/>
      <c r="D220" s="196"/>
      <c r="E220" s="196"/>
      <c r="F220" s="196"/>
      <c r="G220" s="194">
        <f t="shared" si="12"/>
        <v>0</v>
      </c>
      <c r="H220" s="194">
        <f t="shared" si="13"/>
        <v>0</v>
      </c>
      <c r="I220" s="194">
        <f t="shared" si="14"/>
        <v>0</v>
      </c>
      <c r="J220" s="38">
        <f>MQ!AD220</f>
        <v>0</v>
      </c>
      <c r="K220" s="38">
        <f>MQ!AE220</f>
        <v>0</v>
      </c>
    </row>
    <row r="221" spans="1:11" ht="26.25" customHeight="1">
      <c r="A221" s="288"/>
      <c r="B221" s="195">
        <v>0.76041666666666596</v>
      </c>
      <c r="C221" s="196"/>
      <c r="D221" s="196"/>
      <c r="E221" s="196">
        <v>0</v>
      </c>
      <c r="F221" s="196">
        <v>0</v>
      </c>
      <c r="G221" s="194">
        <f t="shared" si="12"/>
        <v>0</v>
      </c>
      <c r="H221" s="194">
        <f t="shared" si="13"/>
        <v>0</v>
      </c>
      <c r="I221" s="194">
        <f t="shared" si="14"/>
        <v>0</v>
      </c>
      <c r="J221" s="38">
        <f>MQ!AD221</f>
        <v>0</v>
      </c>
      <c r="K221" s="38">
        <f>MQ!AE221</f>
        <v>0</v>
      </c>
    </row>
    <row r="222" spans="1:11" ht="26.25" customHeight="1">
      <c r="A222" s="288"/>
      <c r="B222" s="195">
        <v>0.76388888888888895</v>
      </c>
      <c r="C222" s="196"/>
      <c r="D222" s="196"/>
      <c r="E222" s="196">
        <v>0</v>
      </c>
      <c r="F222" s="196">
        <v>0</v>
      </c>
      <c r="G222" s="194">
        <f t="shared" si="12"/>
        <v>0</v>
      </c>
      <c r="H222" s="194">
        <f t="shared" si="13"/>
        <v>0</v>
      </c>
      <c r="I222" s="194">
        <f t="shared" si="14"/>
        <v>0</v>
      </c>
      <c r="J222" s="38">
        <f>MQ!AD222</f>
        <v>0</v>
      </c>
      <c r="K222" s="38">
        <f>MQ!AE222</f>
        <v>0</v>
      </c>
    </row>
    <row r="223" spans="1:11" ht="26.25" customHeight="1">
      <c r="A223" s="288"/>
      <c r="B223" s="195">
        <v>0.76736111111111105</v>
      </c>
      <c r="C223" s="196"/>
      <c r="D223" s="196"/>
      <c r="E223" s="196">
        <v>0</v>
      </c>
      <c r="F223" s="196">
        <v>0</v>
      </c>
      <c r="G223" s="194">
        <f t="shared" si="12"/>
        <v>0</v>
      </c>
      <c r="H223" s="194">
        <f t="shared" si="13"/>
        <v>0</v>
      </c>
      <c r="I223" s="194">
        <f t="shared" si="14"/>
        <v>0</v>
      </c>
      <c r="J223" s="38">
        <f>MQ!AD223</f>
        <v>0</v>
      </c>
      <c r="K223" s="38">
        <f>MQ!AE223</f>
        <v>0</v>
      </c>
    </row>
    <row r="224" spans="1:11" ht="26.25" customHeight="1">
      <c r="A224" s="288"/>
      <c r="B224" s="195">
        <v>0.77083333333333304</v>
      </c>
      <c r="C224" s="196"/>
      <c r="D224" s="196"/>
      <c r="E224" s="196">
        <v>0</v>
      </c>
      <c r="F224" s="196">
        <v>0</v>
      </c>
      <c r="G224" s="194">
        <f t="shared" si="12"/>
        <v>0</v>
      </c>
      <c r="H224" s="194">
        <f t="shared" si="13"/>
        <v>0</v>
      </c>
      <c r="I224" s="194">
        <f t="shared" si="14"/>
        <v>0</v>
      </c>
      <c r="J224" s="38">
        <f>MQ!AD224</f>
        <v>0</v>
      </c>
      <c r="K224" s="38">
        <f>MQ!AE224</f>
        <v>0</v>
      </c>
    </row>
    <row r="225" spans="1:11" ht="26.25" customHeight="1">
      <c r="A225" s="288"/>
      <c r="B225" s="195">
        <v>0.77430555555555503</v>
      </c>
      <c r="C225" s="196"/>
      <c r="D225" s="196"/>
      <c r="E225" s="196">
        <v>0</v>
      </c>
      <c r="F225" s="196">
        <v>0</v>
      </c>
      <c r="G225" s="194">
        <f t="shared" si="12"/>
        <v>0</v>
      </c>
      <c r="H225" s="194">
        <f t="shared" si="13"/>
        <v>0</v>
      </c>
      <c r="I225" s="194">
        <f t="shared" si="14"/>
        <v>0</v>
      </c>
      <c r="J225" s="38">
        <f>MQ!AD225</f>
        <v>0</v>
      </c>
      <c r="K225" s="38">
        <f>MQ!AE225</f>
        <v>0</v>
      </c>
    </row>
    <row r="226" spans="1:11" ht="26.25" customHeight="1">
      <c r="A226" s="288"/>
      <c r="B226" s="195">
        <v>0.77777777777777701</v>
      </c>
      <c r="C226" s="196"/>
      <c r="D226" s="196"/>
      <c r="E226" s="196">
        <v>0</v>
      </c>
      <c r="F226" s="196">
        <v>0</v>
      </c>
      <c r="G226" s="194">
        <f t="shared" si="12"/>
        <v>0</v>
      </c>
      <c r="H226" s="194">
        <f t="shared" si="13"/>
        <v>0</v>
      </c>
      <c r="I226" s="194">
        <f t="shared" si="14"/>
        <v>0</v>
      </c>
      <c r="J226" s="38">
        <f>MQ!AD226</f>
        <v>0</v>
      </c>
      <c r="K226" s="38">
        <f>MQ!AE226</f>
        <v>0</v>
      </c>
    </row>
    <row r="227" spans="1:11" ht="26.25" customHeight="1">
      <c r="A227" s="288"/>
      <c r="B227" s="195">
        <v>0.78125</v>
      </c>
      <c r="C227" s="196"/>
      <c r="D227" s="196"/>
      <c r="E227" s="196">
        <v>0</v>
      </c>
      <c r="F227" s="196">
        <v>0</v>
      </c>
      <c r="G227" s="194">
        <f t="shared" si="12"/>
        <v>0</v>
      </c>
      <c r="H227" s="194">
        <f t="shared" si="13"/>
        <v>0</v>
      </c>
      <c r="I227" s="194">
        <f t="shared" si="14"/>
        <v>0</v>
      </c>
      <c r="J227" s="38">
        <f>MQ!AD227</f>
        <v>0</v>
      </c>
      <c r="K227" s="38">
        <f>MQ!AE227</f>
        <v>0</v>
      </c>
    </row>
    <row r="228" spans="1:11" ht="26.25" customHeight="1">
      <c r="A228" s="288"/>
      <c r="B228" s="195">
        <v>0.78472222222222199</v>
      </c>
      <c r="C228" s="196"/>
      <c r="D228" s="196"/>
      <c r="E228" s="196">
        <v>0</v>
      </c>
      <c r="F228" s="196">
        <v>0</v>
      </c>
      <c r="G228" s="194">
        <f t="shared" si="12"/>
        <v>0</v>
      </c>
      <c r="H228" s="194">
        <f t="shared" si="13"/>
        <v>0</v>
      </c>
      <c r="I228" s="194">
        <f t="shared" si="14"/>
        <v>0</v>
      </c>
      <c r="J228" s="38">
        <f>MQ!AD228</f>
        <v>0</v>
      </c>
      <c r="K228" s="38">
        <f>MQ!AE228</f>
        <v>0</v>
      </c>
    </row>
    <row r="229" spans="1:11" ht="26.25" customHeight="1">
      <c r="A229" s="288"/>
      <c r="B229" s="195">
        <v>0.78819444444444398</v>
      </c>
      <c r="C229" s="196"/>
      <c r="D229" s="196"/>
      <c r="E229" s="196">
        <v>0</v>
      </c>
      <c r="F229" s="196">
        <v>0</v>
      </c>
      <c r="G229" s="194">
        <f t="shared" si="12"/>
        <v>0</v>
      </c>
      <c r="H229" s="194">
        <f t="shared" si="13"/>
        <v>0</v>
      </c>
      <c r="I229" s="194">
        <f t="shared" si="14"/>
        <v>0</v>
      </c>
      <c r="J229" s="38">
        <f>MQ!AD229</f>
        <v>0</v>
      </c>
      <c r="K229" s="38">
        <f>MQ!AE229</f>
        <v>0</v>
      </c>
    </row>
    <row r="230" spans="1:11" ht="26.25" customHeight="1">
      <c r="A230" s="288"/>
      <c r="B230" s="195">
        <v>0.79166666666666596</v>
      </c>
      <c r="C230" s="196"/>
      <c r="D230" s="196"/>
      <c r="E230" s="196">
        <v>0</v>
      </c>
      <c r="F230" s="196">
        <v>0</v>
      </c>
      <c r="G230" s="194">
        <f t="shared" si="12"/>
        <v>0</v>
      </c>
      <c r="H230" s="194">
        <f t="shared" si="13"/>
        <v>0</v>
      </c>
      <c r="I230" s="194">
        <f t="shared" si="14"/>
        <v>0</v>
      </c>
      <c r="J230" s="38">
        <f>MQ!AD230</f>
        <v>0</v>
      </c>
      <c r="K230" s="38">
        <f>MQ!AE230</f>
        <v>0</v>
      </c>
    </row>
    <row r="231" spans="1:11" ht="26.25" hidden="1" customHeight="1">
      <c r="A231" s="286" t="s">
        <v>21</v>
      </c>
      <c r="B231" s="197">
        <v>0.79513888888888895</v>
      </c>
      <c r="C231" s="198">
        <v>0</v>
      </c>
      <c r="D231" s="198">
        <v>0</v>
      </c>
      <c r="E231" s="198">
        <v>0</v>
      </c>
      <c r="F231" s="198">
        <v>0</v>
      </c>
      <c r="G231" s="194">
        <f t="shared" si="12"/>
        <v>0</v>
      </c>
      <c r="H231" s="194">
        <f t="shared" si="13"/>
        <v>0</v>
      </c>
      <c r="I231" s="194">
        <f t="shared" si="14"/>
        <v>0</v>
      </c>
      <c r="J231" s="38">
        <f>MQ!AD231</f>
        <v>0</v>
      </c>
      <c r="K231" s="38">
        <f>MQ!AE231</f>
        <v>0</v>
      </c>
    </row>
    <row r="232" spans="1:11" ht="26.25" hidden="1" customHeight="1">
      <c r="A232" s="286"/>
      <c r="B232" s="197">
        <v>0.79861111111111105</v>
      </c>
      <c r="C232" s="198">
        <v>0</v>
      </c>
      <c r="D232" s="198">
        <v>0</v>
      </c>
      <c r="E232" s="198">
        <v>0</v>
      </c>
      <c r="F232" s="198">
        <v>0</v>
      </c>
      <c r="G232" s="194">
        <f t="shared" si="12"/>
        <v>0</v>
      </c>
      <c r="H232" s="194">
        <f t="shared" si="13"/>
        <v>0</v>
      </c>
      <c r="I232" s="194">
        <f t="shared" si="14"/>
        <v>0</v>
      </c>
      <c r="J232" s="38">
        <f>MQ!AD232</f>
        <v>0</v>
      </c>
      <c r="K232" s="38">
        <f>MQ!AE232</f>
        <v>0</v>
      </c>
    </row>
    <row r="233" spans="1:11" ht="26.25" hidden="1" customHeight="1">
      <c r="A233" s="286"/>
      <c r="B233" s="197">
        <v>0.80208333333333304</v>
      </c>
      <c r="C233" s="198">
        <v>0</v>
      </c>
      <c r="D233" s="198">
        <v>0</v>
      </c>
      <c r="E233" s="198">
        <v>0</v>
      </c>
      <c r="F233" s="198">
        <v>0</v>
      </c>
      <c r="G233" s="194">
        <f t="shared" si="12"/>
        <v>0</v>
      </c>
      <c r="H233" s="194">
        <f t="shared" si="13"/>
        <v>0</v>
      </c>
      <c r="I233" s="194">
        <f t="shared" si="14"/>
        <v>0</v>
      </c>
      <c r="J233" s="38">
        <f>MQ!AD233</f>
        <v>0</v>
      </c>
      <c r="K233" s="38">
        <f>MQ!AE233</f>
        <v>0</v>
      </c>
    </row>
    <row r="234" spans="1:11" ht="26.25" hidden="1" customHeight="1">
      <c r="A234" s="286"/>
      <c r="B234" s="197">
        <v>0.80555555555555503</v>
      </c>
      <c r="C234" s="198">
        <v>0</v>
      </c>
      <c r="D234" s="198">
        <v>0</v>
      </c>
      <c r="E234" s="198">
        <v>0</v>
      </c>
      <c r="F234" s="198">
        <v>0</v>
      </c>
      <c r="G234" s="194">
        <f t="shared" si="12"/>
        <v>0</v>
      </c>
      <c r="H234" s="194">
        <f t="shared" si="13"/>
        <v>0</v>
      </c>
      <c r="I234" s="194">
        <f t="shared" si="14"/>
        <v>0</v>
      </c>
      <c r="J234" s="38">
        <f>MQ!AD234</f>
        <v>0</v>
      </c>
      <c r="K234" s="38">
        <f>MQ!AE234</f>
        <v>0</v>
      </c>
    </row>
    <row r="235" spans="1:11" ht="26.25" hidden="1" customHeight="1">
      <c r="A235" s="286"/>
      <c r="B235" s="197">
        <v>0.80902777777777701</v>
      </c>
      <c r="C235" s="198">
        <v>0</v>
      </c>
      <c r="D235" s="198">
        <v>0</v>
      </c>
      <c r="E235" s="198">
        <v>0</v>
      </c>
      <c r="F235" s="198">
        <v>0</v>
      </c>
      <c r="G235" s="194">
        <f t="shared" si="12"/>
        <v>0</v>
      </c>
      <c r="H235" s="194">
        <f t="shared" si="13"/>
        <v>0</v>
      </c>
      <c r="I235" s="194">
        <f t="shared" si="14"/>
        <v>0</v>
      </c>
      <c r="J235" s="38">
        <f>MQ!AD235</f>
        <v>0</v>
      </c>
      <c r="K235" s="38">
        <f>MQ!AE235</f>
        <v>0</v>
      </c>
    </row>
    <row r="236" spans="1:11" ht="26.25" hidden="1" customHeight="1">
      <c r="A236" s="286"/>
      <c r="B236" s="197">
        <v>0.8125</v>
      </c>
      <c r="C236" s="198">
        <v>0</v>
      </c>
      <c r="D236" s="198">
        <v>0</v>
      </c>
      <c r="E236" s="198">
        <v>0</v>
      </c>
      <c r="F236" s="198">
        <v>0</v>
      </c>
      <c r="G236" s="194">
        <f t="shared" si="12"/>
        <v>0</v>
      </c>
      <c r="H236" s="194">
        <f t="shared" si="13"/>
        <v>0</v>
      </c>
      <c r="I236" s="194">
        <f t="shared" si="14"/>
        <v>0</v>
      </c>
      <c r="J236" s="38">
        <f>MQ!AD236</f>
        <v>0</v>
      </c>
      <c r="K236" s="38">
        <f>MQ!AE236</f>
        <v>0</v>
      </c>
    </row>
    <row r="237" spans="1:11" ht="26.25" hidden="1" customHeight="1">
      <c r="A237" s="286"/>
      <c r="B237" s="197">
        <v>0.81597222222222199</v>
      </c>
      <c r="C237" s="198">
        <v>0</v>
      </c>
      <c r="D237" s="198">
        <v>0</v>
      </c>
      <c r="E237" s="198">
        <v>0</v>
      </c>
      <c r="F237" s="198">
        <v>0</v>
      </c>
      <c r="G237" s="194">
        <f t="shared" si="12"/>
        <v>0</v>
      </c>
      <c r="H237" s="194">
        <f t="shared" si="13"/>
        <v>0</v>
      </c>
      <c r="I237" s="194">
        <f t="shared" si="14"/>
        <v>0</v>
      </c>
      <c r="J237" s="38">
        <f>MQ!AD237</f>
        <v>0</v>
      </c>
      <c r="K237" s="38">
        <f>MQ!AE237</f>
        <v>0</v>
      </c>
    </row>
    <row r="238" spans="1:11" ht="26.25" hidden="1" customHeight="1">
      <c r="A238" s="286"/>
      <c r="B238" s="197">
        <v>0.81944444444444398</v>
      </c>
      <c r="C238" s="198">
        <v>0</v>
      </c>
      <c r="D238" s="198">
        <v>0</v>
      </c>
      <c r="E238" s="198">
        <v>0</v>
      </c>
      <c r="F238" s="198">
        <v>0</v>
      </c>
      <c r="G238" s="194">
        <f t="shared" si="12"/>
        <v>0</v>
      </c>
      <c r="H238" s="194">
        <f t="shared" si="13"/>
        <v>0</v>
      </c>
      <c r="I238" s="194">
        <f t="shared" si="14"/>
        <v>0</v>
      </c>
      <c r="J238" s="38">
        <f>MQ!AD238</f>
        <v>0</v>
      </c>
      <c r="K238" s="38">
        <f>MQ!AE238</f>
        <v>0</v>
      </c>
    </row>
    <row r="239" spans="1:11" ht="26.25" hidden="1" customHeight="1">
      <c r="A239" s="286"/>
      <c r="B239" s="197">
        <v>0.82291666666666596</v>
      </c>
      <c r="C239" s="198">
        <v>0</v>
      </c>
      <c r="D239" s="198">
        <v>0</v>
      </c>
      <c r="E239" s="198">
        <v>0</v>
      </c>
      <c r="F239" s="198">
        <v>0</v>
      </c>
      <c r="G239" s="194">
        <f t="shared" si="12"/>
        <v>0</v>
      </c>
      <c r="H239" s="194">
        <f t="shared" si="13"/>
        <v>0</v>
      </c>
      <c r="I239" s="194">
        <f t="shared" si="14"/>
        <v>0</v>
      </c>
      <c r="J239" s="38">
        <f>MQ!AD239</f>
        <v>0</v>
      </c>
      <c r="K239" s="38">
        <f>MQ!AE239</f>
        <v>0</v>
      </c>
    </row>
    <row r="240" spans="1:11" ht="26.25" hidden="1" customHeight="1">
      <c r="A240" s="286"/>
      <c r="B240" s="197">
        <v>0.82638888888888895</v>
      </c>
      <c r="C240" s="198">
        <v>0</v>
      </c>
      <c r="D240" s="198">
        <v>0</v>
      </c>
      <c r="E240" s="198">
        <v>0</v>
      </c>
      <c r="F240" s="198">
        <v>0</v>
      </c>
      <c r="G240" s="194">
        <f t="shared" si="12"/>
        <v>0</v>
      </c>
      <c r="H240" s="194">
        <f t="shared" si="13"/>
        <v>0</v>
      </c>
      <c r="I240" s="194">
        <f t="shared" si="14"/>
        <v>0</v>
      </c>
      <c r="J240" s="38">
        <f>MQ!AD240</f>
        <v>0</v>
      </c>
      <c r="K240" s="38">
        <f>MQ!AE240</f>
        <v>0</v>
      </c>
    </row>
    <row r="241" spans="1:11" ht="26.25" hidden="1" customHeight="1">
      <c r="A241" s="286"/>
      <c r="B241" s="197">
        <v>0.82986111111111105</v>
      </c>
      <c r="C241" s="198">
        <v>0</v>
      </c>
      <c r="D241" s="198">
        <v>0</v>
      </c>
      <c r="E241" s="198">
        <v>0</v>
      </c>
      <c r="F241" s="198">
        <v>0</v>
      </c>
      <c r="G241" s="194">
        <f t="shared" si="12"/>
        <v>0</v>
      </c>
      <c r="H241" s="194">
        <f t="shared" si="13"/>
        <v>0</v>
      </c>
      <c r="I241" s="194">
        <f t="shared" si="14"/>
        <v>0</v>
      </c>
      <c r="J241" s="38">
        <f>MQ!AD241</f>
        <v>0</v>
      </c>
      <c r="K241" s="38">
        <f>MQ!AE241</f>
        <v>0</v>
      </c>
    </row>
    <row r="242" spans="1:11" ht="26.25" hidden="1" customHeight="1">
      <c r="A242" s="286"/>
      <c r="B242" s="197">
        <v>0.83333333333333304</v>
      </c>
      <c r="C242" s="198">
        <v>0</v>
      </c>
      <c r="D242" s="198">
        <v>0</v>
      </c>
      <c r="E242" s="198">
        <v>0</v>
      </c>
      <c r="F242" s="198">
        <v>0</v>
      </c>
      <c r="G242" s="194">
        <f t="shared" si="12"/>
        <v>0</v>
      </c>
      <c r="H242" s="194">
        <f t="shared" si="13"/>
        <v>0</v>
      </c>
      <c r="I242" s="194">
        <f t="shared" si="14"/>
        <v>0</v>
      </c>
      <c r="J242" s="38">
        <f>MQ!AD242</f>
        <v>0</v>
      </c>
      <c r="K242" s="38">
        <f>MQ!AE242</f>
        <v>0</v>
      </c>
    </row>
    <row r="243" spans="1:11" ht="26.25" hidden="1" customHeight="1">
      <c r="A243" s="288" t="s">
        <v>22</v>
      </c>
      <c r="B243" s="195">
        <v>0.83680555555555503</v>
      </c>
      <c r="C243" s="196">
        <v>0</v>
      </c>
      <c r="D243" s="196">
        <v>0</v>
      </c>
      <c r="E243" s="196">
        <v>0</v>
      </c>
      <c r="F243" s="196">
        <v>0</v>
      </c>
      <c r="G243" s="194">
        <f t="shared" si="12"/>
        <v>0</v>
      </c>
      <c r="H243" s="194">
        <f t="shared" si="13"/>
        <v>0</v>
      </c>
      <c r="I243" s="194">
        <f t="shared" si="14"/>
        <v>0</v>
      </c>
      <c r="J243" s="38">
        <f>MQ!AD243</f>
        <v>0</v>
      </c>
      <c r="K243" s="38">
        <f>MQ!AE243</f>
        <v>0</v>
      </c>
    </row>
    <row r="244" spans="1:11" ht="26.25" hidden="1" customHeight="1">
      <c r="A244" s="288"/>
      <c r="B244" s="195">
        <v>0.84027777777777701</v>
      </c>
      <c r="C244" s="196">
        <v>0</v>
      </c>
      <c r="D244" s="196">
        <v>0</v>
      </c>
      <c r="E244" s="196">
        <v>0</v>
      </c>
      <c r="F244" s="196">
        <v>0</v>
      </c>
      <c r="G244" s="194">
        <f t="shared" si="12"/>
        <v>0</v>
      </c>
      <c r="H244" s="194">
        <f t="shared" si="13"/>
        <v>0</v>
      </c>
      <c r="I244" s="194">
        <f t="shared" si="14"/>
        <v>0</v>
      </c>
      <c r="J244" s="38">
        <f>MQ!AD244</f>
        <v>0</v>
      </c>
      <c r="K244" s="38">
        <f>MQ!AE244</f>
        <v>0</v>
      </c>
    </row>
    <row r="245" spans="1:11" ht="26.25" hidden="1" customHeight="1">
      <c r="A245" s="288"/>
      <c r="B245" s="195">
        <v>0.84375</v>
      </c>
      <c r="C245" s="196">
        <v>0</v>
      </c>
      <c r="D245" s="196">
        <v>0</v>
      </c>
      <c r="E245" s="196">
        <v>0</v>
      </c>
      <c r="F245" s="196">
        <v>0</v>
      </c>
      <c r="G245" s="194">
        <f t="shared" si="12"/>
        <v>0</v>
      </c>
      <c r="H245" s="194">
        <f t="shared" si="13"/>
        <v>0</v>
      </c>
      <c r="I245" s="194">
        <f t="shared" si="14"/>
        <v>0</v>
      </c>
      <c r="J245" s="38">
        <f>MQ!AD245</f>
        <v>0</v>
      </c>
      <c r="K245" s="38">
        <f>MQ!AE245</f>
        <v>0</v>
      </c>
    </row>
    <row r="246" spans="1:11" ht="26.25" hidden="1" customHeight="1">
      <c r="A246" s="288"/>
      <c r="B246" s="195">
        <v>0.84722222222222199</v>
      </c>
      <c r="C246" s="196">
        <v>0</v>
      </c>
      <c r="D246" s="196">
        <v>0</v>
      </c>
      <c r="E246" s="196">
        <v>0</v>
      </c>
      <c r="F246" s="196">
        <v>0</v>
      </c>
      <c r="G246" s="194">
        <f t="shared" si="12"/>
        <v>0</v>
      </c>
      <c r="H246" s="194">
        <f t="shared" si="13"/>
        <v>0</v>
      </c>
      <c r="I246" s="194">
        <f t="shared" si="14"/>
        <v>0</v>
      </c>
      <c r="J246" s="38">
        <f>MQ!AD246</f>
        <v>0</v>
      </c>
      <c r="K246" s="38">
        <f>MQ!AE246</f>
        <v>0</v>
      </c>
    </row>
    <row r="247" spans="1:11" ht="26.25" hidden="1" customHeight="1">
      <c r="A247" s="288"/>
      <c r="B247" s="195">
        <v>0.85069444444444398</v>
      </c>
      <c r="C247" s="196">
        <v>0</v>
      </c>
      <c r="D247" s="196">
        <v>0</v>
      </c>
      <c r="E247" s="196">
        <v>0</v>
      </c>
      <c r="F247" s="196">
        <v>0</v>
      </c>
      <c r="G247" s="194">
        <f t="shared" si="12"/>
        <v>0</v>
      </c>
      <c r="H247" s="194">
        <f t="shared" si="13"/>
        <v>0</v>
      </c>
      <c r="I247" s="194">
        <f t="shared" si="14"/>
        <v>0</v>
      </c>
      <c r="J247" s="38">
        <f>MQ!AD247</f>
        <v>0</v>
      </c>
      <c r="K247" s="38">
        <f>MQ!AE247</f>
        <v>0</v>
      </c>
    </row>
    <row r="248" spans="1:11" ht="26.25" hidden="1" customHeight="1">
      <c r="A248" s="288"/>
      <c r="B248" s="195">
        <v>0.85416666666666596</v>
      </c>
      <c r="C248" s="196">
        <v>0</v>
      </c>
      <c r="D248" s="196">
        <v>0</v>
      </c>
      <c r="E248" s="196">
        <v>0</v>
      </c>
      <c r="F248" s="196">
        <v>0</v>
      </c>
      <c r="G248" s="194">
        <f t="shared" si="12"/>
        <v>0</v>
      </c>
      <c r="H248" s="194">
        <f t="shared" si="13"/>
        <v>0</v>
      </c>
      <c r="I248" s="194">
        <f t="shared" si="14"/>
        <v>0</v>
      </c>
      <c r="J248" s="38">
        <f>MQ!AD248</f>
        <v>0</v>
      </c>
      <c r="K248" s="38">
        <f>MQ!AE248</f>
        <v>0</v>
      </c>
    </row>
    <row r="249" spans="1:11" ht="26.25" hidden="1" customHeight="1">
      <c r="A249" s="288"/>
      <c r="B249" s="195">
        <v>0.85763888888888895</v>
      </c>
      <c r="C249" s="196">
        <v>0</v>
      </c>
      <c r="D249" s="196">
        <v>0</v>
      </c>
      <c r="E249" s="196">
        <v>0</v>
      </c>
      <c r="F249" s="196">
        <v>0</v>
      </c>
      <c r="G249" s="194">
        <f t="shared" si="12"/>
        <v>0</v>
      </c>
      <c r="H249" s="194">
        <f t="shared" si="13"/>
        <v>0</v>
      </c>
      <c r="I249" s="194">
        <f t="shared" si="14"/>
        <v>0</v>
      </c>
      <c r="J249" s="38">
        <f>MQ!AD249</f>
        <v>0</v>
      </c>
      <c r="K249" s="38">
        <f>MQ!AE249</f>
        <v>0</v>
      </c>
    </row>
    <row r="250" spans="1:11" ht="26.25" hidden="1" customHeight="1">
      <c r="A250" s="288"/>
      <c r="B250" s="195">
        <v>0.86111111111111105</v>
      </c>
      <c r="C250" s="196">
        <v>0</v>
      </c>
      <c r="D250" s="196">
        <v>0</v>
      </c>
      <c r="E250" s="196">
        <v>0</v>
      </c>
      <c r="F250" s="196">
        <v>0</v>
      </c>
      <c r="G250" s="194">
        <f t="shared" si="12"/>
        <v>0</v>
      </c>
      <c r="H250" s="194">
        <f t="shared" si="13"/>
        <v>0</v>
      </c>
      <c r="I250" s="194">
        <f t="shared" si="14"/>
        <v>0</v>
      </c>
      <c r="J250" s="38">
        <f>MQ!AD250</f>
        <v>0</v>
      </c>
      <c r="K250" s="38">
        <f>MQ!AE250</f>
        <v>0</v>
      </c>
    </row>
    <row r="251" spans="1:11" ht="26.25" hidden="1" customHeight="1">
      <c r="A251" s="288"/>
      <c r="B251" s="195">
        <v>0.86458333333333304</v>
      </c>
      <c r="C251" s="196">
        <v>0</v>
      </c>
      <c r="D251" s="196">
        <v>0</v>
      </c>
      <c r="E251" s="196">
        <v>0</v>
      </c>
      <c r="F251" s="196">
        <v>0</v>
      </c>
      <c r="G251" s="194">
        <f t="shared" si="12"/>
        <v>0</v>
      </c>
      <c r="H251" s="194">
        <f t="shared" si="13"/>
        <v>0</v>
      </c>
      <c r="I251" s="194">
        <f t="shared" si="14"/>
        <v>0</v>
      </c>
      <c r="J251" s="38">
        <f>MQ!AD251</f>
        <v>0</v>
      </c>
      <c r="K251" s="38">
        <f>MQ!AE251</f>
        <v>0</v>
      </c>
    </row>
    <row r="252" spans="1:11" ht="26.25" hidden="1" customHeight="1">
      <c r="A252" s="288"/>
      <c r="B252" s="195">
        <v>0.86805555555555503</v>
      </c>
      <c r="C252" s="196">
        <v>0</v>
      </c>
      <c r="D252" s="196">
        <v>0</v>
      </c>
      <c r="E252" s="196">
        <v>0</v>
      </c>
      <c r="F252" s="196">
        <v>0</v>
      </c>
      <c r="G252" s="194">
        <f t="shared" si="12"/>
        <v>0</v>
      </c>
      <c r="H252" s="194">
        <f t="shared" si="13"/>
        <v>0</v>
      </c>
      <c r="I252" s="194">
        <f t="shared" si="14"/>
        <v>0</v>
      </c>
      <c r="J252" s="38">
        <f>MQ!AD252</f>
        <v>0</v>
      </c>
      <c r="K252" s="38">
        <f>MQ!AE252</f>
        <v>0</v>
      </c>
    </row>
    <row r="253" spans="1:11" ht="26.25" hidden="1" customHeight="1">
      <c r="A253" s="288"/>
      <c r="B253" s="195">
        <v>0.87152777777777701</v>
      </c>
      <c r="C253" s="196">
        <v>0</v>
      </c>
      <c r="D253" s="196">
        <v>0</v>
      </c>
      <c r="E253" s="196">
        <v>0</v>
      </c>
      <c r="F253" s="196">
        <v>0</v>
      </c>
      <c r="G253" s="194">
        <f t="shared" si="12"/>
        <v>0</v>
      </c>
      <c r="H253" s="194">
        <f t="shared" si="13"/>
        <v>0</v>
      </c>
      <c r="I253" s="194">
        <f t="shared" si="14"/>
        <v>0</v>
      </c>
      <c r="J253" s="38">
        <f>MQ!AD253</f>
        <v>0</v>
      </c>
      <c r="K253" s="38">
        <f>MQ!AE253</f>
        <v>0</v>
      </c>
    </row>
    <row r="254" spans="1:11" ht="26.25" hidden="1" customHeight="1">
      <c r="A254" s="288"/>
      <c r="B254" s="195">
        <v>0.875</v>
      </c>
      <c r="C254" s="196">
        <v>0</v>
      </c>
      <c r="D254" s="196">
        <v>0</v>
      </c>
      <c r="E254" s="196">
        <v>0</v>
      </c>
      <c r="F254" s="196">
        <v>0</v>
      </c>
      <c r="G254" s="194">
        <f t="shared" si="12"/>
        <v>0</v>
      </c>
      <c r="H254" s="194">
        <f t="shared" si="13"/>
        <v>0</v>
      </c>
      <c r="I254" s="194">
        <f t="shared" si="14"/>
        <v>0</v>
      </c>
      <c r="J254" s="38">
        <f>MQ!AD254</f>
        <v>0</v>
      </c>
      <c r="K254" s="38">
        <f>MQ!AE254</f>
        <v>0</v>
      </c>
    </row>
    <row r="255" spans="1:11" ht="26.25" hidden="1" customHeight="1">
      <c r="A255" s="286" t="s">
        <v>23</v>
      </c>
      <c r="B255" s="197">
        <v>0.87847222222222199</v>
      </c>
      <c r="C255" s="198">
        <v>0</v>
      </c>
      <c r="D255" s="198">
        <v>0</v>
      </c>
      <c r="E255" s="198">
        <v>0</v>
      </c>
      <c r="F255" s="198">
        <v>0</v>
      </c>
      <c r="G255" s="194">
        <f t="shared" si="12"/>
        <v>0</v>
      </c>
      <c r="H255" s="194">
        <f t="shared" si="13"/>
        <v>0</v>
      </c>
      <c r="I255" s="194">
        <f t="shared" si="14"/>
        <v>0</v>
      </c>
      <c r="J255" s="38">
        <f>MQ!AD255</f>
        <v>0</v>
      </c>
      <c r="K255" s="38">
        <f>MQ!AE255</f>
        <v>0</v>
      </c>
    </row>
    <row r="256" spans="1:11" ht="26.25" hidden="1" customHeight="1">
      <c r="A256" s="286"/>
      <c r="B256" s="197">
        <v>0.88194444444444398</v>
      </c>
      <c r="C256" s="198">
        <v>0</v>
      </c>
      <c r="D256" s="198">
        <v>0</v>
      </c>
      <c r="E256" s="198">
        <v>0</v>
      </c>
      <c r="F256" s="198">
        <v>0</v>
      </c>
      <c r="G256" s="194">
        <f t="shared" si="12"/>
        <v>0</v>
      </c>
      <c r="H256" s="194">
        <f t="shared" si="13"/>
        <v>0</v>
      </c>
      <c r="I256" s="194">
        <f t="shared" si="14"/>
        <v>0</v>
      </c>
      <c r="J256" s="38">
        <f>MQ!AD256</f>
        <v>0</v>
      </c>
      <c r="K256" s="38">
        <f>MQ!AE256</f>
        <v>0</v>
      </c>
    </row>
    <row r="257" spans="1:11" ht="26.25" hidden="1" customHeight="1">
      <c r="A257" s="286"/>
      <c r="B257" s="197">
        <v>0.88541666666666596</v>
      </c>
      <c r="C257" s="198">
        <v>0</v>
      </c>
      <c r="D257" s="198">
        <v>0</v>
      </c>
      <c r="E257" s="198">
        <v>0</v>
      </c>
      <c r="F257" s="198">
        <v>0</v>
      </c>
      <c r="G257" s="194">
        <f t="shared" si="12"/>
        <v>0</v>
      </c>
      <c r="H257" s="194">
        <f t="shared" si="13"/>
        <v>0</v>
      </c>
      <c r="I257" s="194">
        <f t="shared" si="14"/>
        <v>0</v>
      </c>
      <c r="J257" s="38">
        <f>MQ!AD257</f>
        <v>0</v>
      </c>
      <c r="K257" s="38">
        <f>MQ!AE257</f>
        <v>0</v>
      </c>
    </row>
    <row r="258" spans="1:11" ht="26.25" hidden="1" customHeight="1">
      <c r="A258" s="286"/>
      <c r="B258" s="197">
        <v>0.88888888888888895</v>
      </c>
      <c r="C258" s="198">
        <v>0</v>
      </c>
      <c r="D258" s="198">
        <v>0</v>
      </c>
      <c r="E258" s="198">
        <v>0</v>
      </c>
      <c r="F258" s="198">
        <v>0</v>
      </c>
      <c r="G258" s="194">
        <f t="shared" si="12"/>
        <v>0</v>
      </c>
      <c r="H258" s="194">
        <f t="shared" si="13"/>
        <v>0</v>
      </c>
      <c r="I258" s="194">
        <f t="shared" si="14"/>
        <v>0</v>
      </c>
      <c r="J258" s="38">
        <f>MQ!AD258</f>
        <v>0</v>
      </c>
      <c r="K258" s="38">
        <f>MQ!AE258</f>
        <v>0</v>
      </c>
    </row>
    <row r="259" spans="1:11" ht="26.25" hidden="1" customHeight="1">
      <c r="A259" s="286"/>
      <c r="B259" s="197">
        <v>0.89236111111111105</v>
      </c>
      <c r="C259" s="198">
        <v>0</v>
      </c>
      <c r="D259" s="198">
        <v>0</v>
      </c>
      <c r="E259" s="198">
        <v>0</v>
      </c>
      <c r="F259" s="198">
        <v>0</v>
      </c>
      <c r="G259" s="194">
        <f t="shared" si="12"/>
        <v>0</v>
      </c>
      <c r="H259" s="194">
        <f t="shared" si="13"/>
        <v>0</v>
      </c>
      <c r="I259" s="194">
        <f t="shared" si="14"/>
        <v>0</v>
      </c>
      <c r="J259" s="38">
        <f>MQ!AD259</f>
        <v>0</v>
      </c>
      <c r="K259" s="38">
        <f>MQ!AE259</f>
        <v>0</v>
      </c>
    </row>
    <row r="260" spans="1:11" ht="26.25" hidden="1" customHeight="1">
      <c r="A260" s="286"/>
      <c r="B260" s="197">
        <v>0.89583333333333304</v>
      </c>
      <c r="C260" s="198">
        <v>0</v>
      </c>
      <c r="D260" s="198">
        <v>0</v>
      </c>
      <c r="E260" s="198">
        <v>0</v>
      </c>
      <c r="F260" s="198">
        <v>0</v>
      </c>
      <c r="G260" s="194">
        <f t="shared" ref="G260:G290" si="15">C260/12</f>
        <v>0</v>
      </c>
      <c r="H260" s="194">
        <f t="shared" ref="H260:H290" si="16">D260/12</f>
        <v>0</v>
      </c>
      <c r="I260" s="194">
        <f t="shared" ref="I260:I290" si="17">E260/12</f>
        <v>0</v>
      </c>
      <c r="J260" s="38">
        <f>MQ!AD260</f>
        <v>0</v>
      </c>
      <c r="K260" s="38">
        <f>MQ!AE260</f>
        <v>0</v>
      </c>
    </row>
    <row r="261" spans="1:11" ht="26.25" hidden="1" customHeight="1">
      <c r="A261" s="286"/>
      <c r="B261" s="197">
        <v>0.89930555555555503</v>
      </c>
      <c r="C261" s="198">
        <v>0</v>
      </c>
      <c r="D261" s="198">
        <v>0</v>
      </c>
      <c r="E261" s="198">
        <v>0</v>
      </c>
      <c r="F261" s="198">
        <v>0</v>
      </c>
      <c r="G261" s="194">
        <f t="shared" si="15"/>
        <v>0</v>
      </c>
      <c r="H261" s="194">
        <f t="shared" si="16"/>
        <v>0</v>
      </c>
      <c r="I261" s="194">
        <f t="shared" si="17"/>
        <v>0</v>
      </c>
      <c r="J261" s="38">
        <f>MQ!AD261</f>
        <v>0</v>
      </c>
      <c r="K261" s="38">
        <f>MQ!AE261</f>
        <v>0</v>
      </c>
    </row>
    <row r="262" spans="1:11" ht="26.25" hidden="1" customHeight="1">
      <c r="A262" s="286"/>
      <c r="B262" s="197">
        <v>0.90277777777777701</v>
      </c>
      <c r="C262" s="198">
        <v>0</v>
      </c>
      <c r="D262" s="198">
        <v>0</v>
      </c>
      <c r="E262" s="198">
        <v>0</v>
      </c>
      <c r="F262" s="198">
        <v>0</v>
      </c>
      <c r="G262" s="194">
        <f t="shared" si="15"/>
        <v>0</v>
      </c>
      <c r="H262" s="194">
        <f t="shared" si="16"/>
        <v>0</v>
      </c>
      <c r="I262" s="194">
        <f t="shared" si="17"/>
        <v>0</v>
      </c>
      <c r="J262" s="38">
        <f>MQ!AD262</f>
        <v>0</v>
      </c>
      <c r="K262" s="38">
        <f>MQ!AE262</f>
        <v>0</v>
      </c>
    </row>
    <row r="263" spans="1:11" ht="26.25" hidden="1" customHeight="1">
      <c r="A263" s="286"/>
      <c r="B263" s="197">
        <v>0.90625</v>
      </c>
      <c r="C263" s="198">
        <v>0</v>
      </c>
      <c r="D263" s="198">
        <v>0</v>
      </c>
      <c r="E263" s="198">
        <v>0</v>
      </c>
      <c r="F263" s="198">
        <v>0</v>
      </c>
      <c r="G263" s="194">
        <f t="shared" si="15"/>
        <v>0</v>
      </c>
      <c r="H263" s="194">
        <f t="shared" si="16"/>
        <v>0</v>
      </c>
      <c r="I263" s="194">
        <f t="shared" si="17"/>
        <v>0</v>
      </c>
      <c r="J263" s="38">
        <f>MQ!AD263</f>
        <v>0</v>
      </c>
      <c r="K263" s="38">
        <f>MQ!AE263</f>
        <v>0</v>
      </c>
    </row>
    <row r="264" spans="1:11" ht="26.25" hidden="1" customHeight="1">
      <c r="A264" s="286"/>
      <c r="B264" s="197">
        <v>0.90972222222222199</v>
      </c>
      <c r="C264" s="198">
        <v>0</v>
      </c>
      <c r="D264" s="198">
        <v>0</v>
      </c>
      <c r="E264" s="198">
        <v>0</v>
      </c>
      <c r="F264" s="198">
        <v>0</v>
      </c>
      <c r="G264" s="194">
        <f t="shared" si="15"/>
        <v>0</v>
      </c>
      <c r="H264" s="194">
        <f t="shared" si="16"/>
        <v>0</v>
      </c>
      <c r="I264" s="194">
        <f t="shared" si="17"/>
        <v>0</v>
      </c>
      <c r="J264" s="38">
        <f>MQ!AD264</f>
        <v>0</v>
      </c>
      <c r="K264" s="38">
        <f>MQ!AE264</f>
        <v>0</v>
      </c>
    </row>
    <row r="265" spans="1:11" ht="26.25" hidden="1" customHeight="1">
      <c r="A265" s="286"/>
      <c r="B265" s="197">
        <v>0.91319444444444398</v>
      </c>
      <c r="C265" s="198">
        <v>0</v>
      </c>
      <c r="D265" s="198">
        <v>0</v>
      </c>
      <c r="E265" s="198">
        <v>0</v>
      </c>
      <c r="F265" s="198">
        <v>0</v>
      </c>
      <c r="G265" s="194">
        <f t="shared" si="15"/>
        <v>0</v>
      </c>
      <c r="H265" s="194">
        <f t="shared" si="16"/>
        <v>0</v>
      </c>
      <c r="I265" s="194">
        <f t="shared" si="17"/>
        <v>0</v>
      </c>
      <c r="J265" s="38">
        <f>MQ!AD265</f>
        <v>0</v>
      </c>
      <c r="K265" s="38">
        <f>MQ!AE265</f>
        <v>0</v>
      </c>
    </row>
    <row r="266" spans="1:11" ht="26.25" hidden="1" customHeight="1">
      <c r="A266" s="286"/>
      <c r="B266" s="197">
        <v>0.91666666666666596</v>
      </c>
      <c r="C266" s="198">
        <v>0</v>
      </c>
      <c r="D266" s="198">
        <v>0</v>
      </c>
      <c r="E266" s="198">
        <v>0</v>
      </c>
      <c r="F266" s="198">
        <v>0</v>
      </c>
      <c r="G266" s="194">
        <f t="shared" si="15"/>
        <v>0</v>
      </c>
      <c r="H266" s="194">
        <f t="shared" si="16"/>
        <v>0</v>
      </c>
      <c r="I266" s="194">
        <f t="shared" si="17"/>
        <v>0</v>
      </c>
      <c r="J266" s="38">
        <f>MQ!AD266</f>
        <v>0</v>
      </c>
      <c r="K266" s="38">
        <f>MQ!AE266</f>
        <v>0</v>
      </c>
    </row>
    <row r="267" spans="1:11" ht="26.25" hidden="1" customHeight="1">
      <c r="A267" s="288" t="s">
        <v>24</v>
      </c>
      <c r="B267" s="195">
        <v>0.92013888888888895</v>
      </c>
      <c r="C267" s="196">
        <v>0</v>
      </c>
      <c r="D267" s="196">
        <v>0</v>
      </c>
      <c r="E267" s="196">
        <v>0</v>
      </c>
      <c r="F267" s="196">
        <v>0</v>
      </c>
      <c r="G267" s="194">
        <f t="shared" si="15"/>
        <v>0</v>
      </c>
      <c r="H267" s="194">
        <f t="shared" si="16"/>
        <v>0</v>
      </c>
      <c r="I267" s="194">
        <f t="shared" si="17"/>
        <v>0</v>
      </c>
      <c r="J267" s="38">
        <f>MQ!AD267</f>
        <v>0</v>
      </c>
      <c r="K267" s="38">
        <f>MQ!AE267</f>
        <v>0</v>
      </c>
    </row>
    <row r="268" spans="1:11" ht="26.25" hidden="1" customHeight="1">
      <c r="A268" s="288"/>
      <c r="B268" s="195">
        <v>0.92361111111111105</v>
      </c>
      <c r="C268" s="196">
        <v>0</v>
      </c>
      <c r="D268" s="196">
        <v>0</v>
      </c>
      <c r="E268" s="196">
        <v>0</v>
      </c>
      <c r="F268" s="196">
        <v>0</v>
      </c>
      <c r="G268" s="194">
        <f t="shared" si="15"/>
        <v>0</v>
      </c>
      <c r="H268" s="194">
        <f t="shared" si="16"/>
        <v>0</v>
      </c>
      <c r="I268" s="194">
        <f t="shared" si="17"/>
        <v>0</v>
      </c>
      <c r="J268" s="38">
        <f>MQ!AD268</f>
        <v>0</v>
      </c>
      <c r="K268" s="38">
        <f>MQ!AE268</f>
        <v>0</v>
      </c>
    </row>
    <row r="269" spans="1:11" ht="26.25" hidden="1" customHeight="1">
      <c r="A269" s="288"/>
      <c r="B269" s="195">
        <v>0.92708333333333304</v>
      </c>
      <c r="C269" s="196">
        <v>0</v>
      </c>
      <c r="D269" s="196">
        <v>0</v>
      </c>
      <c r="E269" s="196">
        <v>0</v>
      </c>
      <c r="F269" s="196">
        <v>0</v>
      </c>
      <c r="G269" s="194">
        <f t="shared" si="15"/>
        <v>0</v>
      </c>
      <c r="H269" s="194">
        <f t="shared" si="16"/>
        <v>0</v>
      </c>
      <c r="I269" s="194">
        <f t="shared" si="17"/>
        <v>0</v>
      </c>
      <c r="J269" s="38">
        <f>MQ!AD269</f>
        <v>0</v>
      </c>
      <c r="K269" s="38">
        <f>MQ!AE269</f>
        <v>0</v>
      </c>
    </row>
    <row r="270" spans="1:11" ht="26.25" hidden="1" customHeight="1">
      <c r="A270" s="288"/>
      <c r="B270" s="195">
        <v>0.93055555555555503</v>
      </c>
      <c r="C270" s="196">
        <v>0</v>
      </c>
      <c r="D270" s="196">
        <v>0</v>
      </c>
      <c r="E270" s="196">
        <v>0</v>
      </c>
      <c r="F270" s="196">
        <v>0</v>
      </c>
      <c r="G270" s="194">
        <f t="shared" si="15"/>
        <v>0</v>
      </c>
      <c r="H270" s="194">
        <f t="shared" si="16"/>
        <v>0</v>
      </c>
      <c r="I270" s="194">
        <f t="shared" si="17"/>
        <v>0</v>
      </c>
      <c r="J270" s="38">
        <f>MQ!AD270</f>
        <v>0</v>
      </c>
      <c r="K270" s="38">
        <f>MQ!AE270</f>
        <v>0</v>
      </c>
    </row>
    <row r="271" spans="1:11" ht="26.25" hidden="1" customHeight="1">
      <c r="A271" s="288"/>
      <c r="B271" s="195">
        <v>0.93402777777777701</v>
      </c>
      <c r="C271" s="196">
        <v>0</v>
      </c>
      <c r="D271" s="196">
        <v>0</v>
      </c>
      <c r="E271" s="196">
        <v>0</v>
      </c>
      <c r="F271" s="196">
        <v>0</v>
      </c>
      <c r="G271" s="194">
        <f t="shared" si="15"/>
        <v>0</v>
      </c>
      <c r="H271" s="194">
        <f t="shared" si="16"/>
        <v>0</v>
      </c>
      <c r="I271" s="194">
        <f t="shared" si="17"/>
        <v>0</v>
      </c>
      <c r="J271" s="38">
        <f>MQ!AD271</f>
        <v>0</v>
      </c>
      <c r="K271" s="38">
        <f>MQ!AE271</f>
        <v>0</v>
      </c>
    </row>
    <row r="272" spans="1:11" ht="26.25" hidden="1" customHeight="1">
      <c r="A272" s="288"/>
      <c r="B272" s="195">
        <v>0.9375</v>
      </c>
      <c r="C272" s="196">
        <v>0</v>
      </c>
      <c r="D272" s="196">
        <v>0</v>
      </c>
      <c r="E272" s="196">
        <v>0</v>
      </c>
      <c r="F272" s="196">
        <v>0</v>
      </c>
      <c r="G272" s="194">
        <f t="shared" si="15"/>
        <v>0</v>
      </c>
      <c r="H272" s="194">
        <f t="shared" si="16"/>
        <v>0</v>
      </c>
      <c r="I272" s="194">
        <f t="shared" si="17"/>
        <v>0</v>
      </c>
      <c r="J272" s="38">
        <f>MQ!AD272</f>
        <v>0</v>
      </c>
      <c r="K272" s="38">
        <f>MQ!AE272</f>
        <v>0</v>
      </c>
    </row>
    <row r="273" spans="1:11" ht="26.25" hidden="1" customHeight="1">
      <c r="A273" s="288"/>
      <c r="B273" s="195">
        <v>0.94097222222222199</v>
      </c>
      <c r="C273" s="196">
        <v>0</v>
      </c>
      <c r="D273" s="196">
        <v>0</v>
      </c>
      <c r="E273" s="196">
        <v>0</v>
      </c>
      <c r="F273" s="196">
        <v>0</v>
      </c>
      <c r="G273" s="194">
        <f t="shared" si="15"/>
        <v>0</v>
      </c>
      <c r="H273" s="194">
        <f t="shared" si="16"/>
        <v>0</v>
      </c>
      <c r="I273" s="194">
        <f t="shared" si="17"/>
        <v>0</v>
      </c>
      <c r="J273" s="38">
        <f>MQ!AD273</f>
        <v>0</v>
      </c>
      <c r="K273" s="38">
        <f>MQ!AE273</f>
        <v>0</v>
      </c>
    </row>
    <row r="274" spans="1:11" ht="26.25" hidden="1" customHeight="1">
      <c r="A274" s="288"/>
      <c r="B274" s="195">
        <v>0.94444444444444398</v>
      </c>
      <c r="C274" s="196">
        <v>0</v>
      </c>
      <c r="D274" s="196">
        <v>0</v>
      </c>
      <c r="E274" s="196">
        <v>0</v>
      </c>
      <c r="F274" s="196">
        <v>0</v>
      </c>
      <c r="G274" s="194">
        <f t="shared" si="15"/>
        <v>0</v>
      </c>
      <c r="H274" s="194">
        <f t="shared" si="16"/>
        <v>0</v>
      </c>
      <c r="I274" s="194">
        <f t="shared" si="17"/>
        <v>0</v>
      </c>
      <c r="J274" s="38">
        <f>MQ!AD274</f>
        <v>0</v>
      </c>
      <c r="K274" s="38">
        <f>MQ!AE274</f>
        <v>0</v>
      </c>
    </row>
    <row r="275" spans="1:11" ht="26.25" hidden="1" customHeight="1">
      <c r="A275" s="288"/>
      <c r="B275" s="195">
        <v>0.94791666666666596</v>
      </c>
      <c r="C275" s="196">
        <v>0</v>
      </c>
      <c r="D275" s="196">
        <v>0</v>
      </c>
      <c r="E275" s="196">
        <v>0</v>
      </c>
      <c r="F275" s="196">
        <v>0</v>
      </c>
      <c r="G275" s="194">
        <f t="shared" si="15"/>
        <v>0</v>
      </c>
      <c r="H275" s="194">
        <f t="shared" si="16"/>
        <v>0</v>
      </c>
      <c r="I275" s="194">
        <f t="shared" si="17"/>
        <v>0</v>
      </c>
      <c r="J275" s="38">
        <f>MQ!AD275</f>
        <v>0</v>
      </c>
      <c r="K275" s="38">
        <f>MQ!AE275</f>
        <v>0</v>
      </c>
    </row>
    <row r="276" spans="1:11" ht="26.25" hidden="1" customHeight="1">
      <c r="A276" s="288"/>
      <c r="B276" s="195">
        <v>0.95138888888888895</v>
      </c>
      <c r="C276" s="196">
        <v>0</v>
      </c>
      <c r="D276" s="196">
        <v>0</v>
      </c>
      <c r="E276" s="196">
        <v>0</v>
      </c>
      <c r="F276" s="196">
        <v>0</v>
      </c>
      <c r="G276" s="194">
        <f t="shared" si="15"/>
        <v>0</v>
      </c>
      <c r="H276" s="194">
        <f t="shared" si="16"/>
        <v>0</v>
      </c>
      <c r="I276" s="194">
        <f t="shared" si="17"/>
        <v>0</v>
      </c>
      <c r="J276" s="38">
        <f>MQ!AD276</f>
        <v>0</v>
      </c>
      <c r="K276" s="38">
        <f>MQ!AE276</f>
        <v>0</v>
      </c>
    </row>
    <row r="277" spans="1:11" ht="26.25" hidden="1" customHeight="1">
      <c r="A277" s="288"/>
      <c r="B277" s="195">
        <v>0.95486111111111105</v>
      </c>
      <c r="C277" s="196">
        <v>0</v>
      </c>
      <c r="D277" s="196">
        <v>0</v>
      </c>
      <c r="E277" s="196">
        <v>0</v>
      </c>
      <c r="F277" s="196">
        <v>0</v>
      </c>
      <c r="G277" s="194">
        <f t="shared" si="15"/>
        <v>0</v>
      </c>
      <c r="H277" s="194">
        <f t="shared" si="16"/>
        <v>0</v>
      </c>
      <c r="I277" s="194">
        <f t="shared" si="17"/>
        <v>0</v>
      </c>
      <c r="J277" s="38">
        <f>MQ!AD277</f>
        <v>0</v>
      </c>
      <c r="K277" s="38">
        <f>MQ!AE277</f>
        <v>0</v>
      </c>
    </row>
    <row r="278" spans="1:11" ht="26.25" hidden="1" customHeight="1">
      <c r="A278" s="288"/>
      <c r="B278" s="195">
        <v>0.95833333333333304</v>
      </c>
      <c r="C278" s="196">
        <v>0</v>
      </c>
      <c r="D278" s="196">
        <v>0</v>
      </c>
      <c r="E278" s="196">
        <v>0</v>
      </c>
      <c r="F278" s="196">
        <v>0</v>
      </c>
      <c r="G278" s="194">
        <f t="shared" si="15"/>
        <v>0</v>
      </c>
      <c r="H278" s="194">
        <f t="shared" si="16"/>
        <v>0</v>
      </c>
      <c r="I278" s="194">
        <f t="shared" si="17"/>
        <v>0</v>
      </c>
      <c r="J278" s="38">
        <f>MQ!AD278</f>
        <v>0</v>
      </c>
      <c r="K278" s="38">
        <f>MQ!AE278</f>
        <v>0</v>
      </c>
    </row>
    <row r="279" spans="1:11" ht="26.25" hidden="1" customHeight="1">
      <c r="A279" s="286" t="s">
        <v>25</v>
      </c>
      <c r="B279" s="197">
        <v>0.96180555555555503</v>
      </c>
      <c r="C279" s="198">
        <v>0</v>
      </c>
      <c r="D279" s="198">
        <v>0</v>
      </c>
      <c r="E279" s="198">
        <v>0</v>
      </c>
      <c r="F279" s="198">
        <v>0</v>
      </c>
      <c r="G279" s="194">
        <f t="shared" si="15"/>
        <v>0</v>
      </c>
      <c r="H279" s="194">
        <f t="shared" si="16"/>
        <v>0</v>
      </c>
      <c r="I279" s="194">
        <f t="shared" si="17"/>
        <v>0</v>
      </c>
      <c r="J279" s="38">
        <f>MQ!AD279</f>
        <v>0</v>
      </c>
      <c r="K279" s="38">
        <f>MQ!AE279</f>
        <v>0</v>
      </c>
    </row>
    <row r="280" spans="1:11" ht="26.25" hidden="1" customHeight="1">
      <c r="A280" s="286"/>
      <c r="B280" s="197">
        <v>0.96527777777777701</v>
      </c>
      <c r="C280" s="198">
        <v>0</v>
      </c>
      <c r="D280" s="198">
        <v>0</v>
      </c>
      <c r="E280" s="198">
        <v>0</v>
      </c>
      <c r="F280" s="198">
        <v>0</v>
      </c>
      <c r="G280" s="194">
        <f t="shared" si="15"/>
        <v>0</v>
      </c>
      <c r="H280" s="194">
        <f t="shared" si="16"/>
        <v>0</v>
      </c>
      <c r="I280" s="194">
        <f t="shared" si="17"/>
        <v>0</v>
      </c>
      <c r="J280" s="38">
        <f>MQ!AD280</f>
        <v>0</v>
      </c>
      <c r="K280" s="38">
        <f>MQ!AE280</f>
        <v>0</v>
      </c>
    </row>
    <row r="281" spans="1:11" ht="26.25" hidden="1" customHeight="1">
      <c r="A281" s="286"/>
      <c r="B281" s="197">
        <v>0.96875</v>
      </c>
      <c r="C281" s="198">
        <v>0</v>
      </c>
      <c r="D281" s="198">
        <v>0</v>
      </c>
      <c r="E281" s="198">
        <v>0</v>
      </c>
      <c r="F281" s="198">
        <v>0</v>
      </c>
      <c r="G281" s="194">
        <f t="shared" si="15"/>
        <v>0</v>
      </c>
      <c r="H281" s="194">
        <f t="shared" si="16"/>
        <v>0</v>
      </c>
      <c r="I281" s="194">
        <f t="shared" si="17"/>
        <v>0</v>
      </c>
      <c r="J281" s="38">
        <f>MQ!AD281</f>
        <v>0</v>
      </c>
      <c r="K281" s="38">
        <f>MQ!AE281</f>
        <v>0</v>
      </c>
    </row>
    <row r="282" spans="1:11" ht="26.25" hidden="1" customHeight="1">
      <c r="A282" s="286"/>
      <c r="B282" s="197">
        <v>0.97222222222222199</v>
      </c>
      <c r="C282" s="198">
        <v>0</v>
      </c>
      <c r="D282" s="198">
        <v>0</v>
      </c>
      <c r="E282" s="198">
        <v>0</v>
      </c>
      <c r="F282" s="198">
        <v>0</v>
      </c>
      <c r="G282" s="194">
        <f t="shared" si="15"/>
        <v>0</v>
      </c>
      <c r="H282" s="194">
        <f t="shared" si="16"/>
        <v>0</v>
      </c>
      <c r="I282" s="194">
        <f t="shared" si="17"/>
        <v>0</v>
      </c>
      <c r="J282" s="38">
        <f>MQ!AD282</f>
        <v>0</v>
      </c>
      <c r="K282" s="38">
        <f>MQ!AE282</f>
        <v>0</v>
      </c>
    </row>
    <row r="283" spans="1:11" ht="26.25" hidden="1" customHeight="1">
      <c r="A283" s="286"/>
      <c r="B283" s="197">
        <v>0.97569444444444398</v>
      </c>
      <c r="C283" s="198">
        <v>0</v>
      </c>
      <c r="D283" s="198">
        <v>0</v>
      </c>
      <c r="E283" s="198">
        <v>0</v>
      </c>
      <c r="F283" s="198">
        <v>0</v>
      </c>
      <c r="G283" s="194">
        <f t="shared" si="15"/>
        <v>0</v>
      </c>
      <c r="H283" s="194">
        <f t="shared" si="16"/>
        <v>0</v>
      </c>
      <c r="I283" s="194">
        <f t="shared" si="17"/>
        <v>0</v>
      </c>
      <c r="J283" s="38">
        <f>MQ!AD283</f>
        <v>0</v>
      </c>
      <c r="K283" s="38">
        <f>MQ!AE283</f>
        <v>0</v>
      </c>
    </row>
    <row r="284" spans="1:11" ht="26.25" hidden="1" customHeight="1">
      <c r="A284" s="286"/>
      <c r="B284" s="197">
        <v>0.97916666666666596</v>
      </c>
      <c r="C284" s="198">
        <v>0</v>
      </c>
      <c r="D284" s="198">
        <v>0</v>
      </c>
      <c r="E284" s="198">
        <v>0</v>
      </c>
      <c r="F284" s="198">
        <v>0</v>
      </c>
      <c r="G284" s="194">
        <f t="shared" si="15"/>
        <v>0</v>
      </c>
      <c r="H284" s="194">
        <f t="shared" si="16"/>
        <v>0</v>
      </c>
      <c r="I284" s="194">
        <f t="shared" si="17"/>
        <v>0</v>
      </c>
      <c r="J284" s="38">
        <f>MQ!AD284</f>
        <v>0</v>
      </c>
      <c r="K284" s="38">
        <f>MQ!AE284</f>
        <v>0</v>
      </c>
    </row>
    <row r="285" spans="1:11" ht="26.25" hidden="1" customHeight="1">
      <c r="A285" s="286"/>
      <c r="B285" s="197">
        <v>0.98263888888888895</v>
      </c>
      <c r="C285" s="198">
        <v>0</v>
      </c>
      <c r="D285" s="198">
        <v>0</v>
      </c>
      <c r="E285" s="198">
        <v>0</v>
      </c>
      <c r="F285" s="198">
        <v>0</v>
      </c>
      <c r="G285" s="194">
        <f t="shared" si="15"/>
        <v>0</v>
      </c>
      <c r="H285" s="194">
        <f t="shared" si="16"/>
        <v>0</v>
      </c>
      <c r="I285" s="194">
        <f t="shared" si="17"/>
        <v>0</v>
      </c>
      <c r="J285" s="38">
        <f>MQ!AD285</f>
        <v>0</v>
      </c>
      <c r="K285" s="38">
        <f>MQ!AE285</f>
        <v>0</v>
      </c>
    </row>
    <row r="286" spans="1:11" ht="26.25" hidden="1" customHeight="1">
      <c r="A286" s="286"/>
      <c r="B286" s="197">
        <v>0.98611111111111105</v>
      </c>
      <c r="C286" s="198">
        <v>0</v>
      </c>
      <c r="D286" s="198">
        <v>0</v>
      </c>
      <c r="E286" s="198">
        <v>0</v>
      </c>
      <c r="F286" s="198">
        <v>0</v>
      </c>
      <c r="G286" s="194">
        <f t="shared" si="15"/>
        <v>0</v>
      </c>
      <c r="H286" s="194">
        <f t="shared" si="16"/>
        <v>0</v>
      </c>
      <c r="I286" s="194">
        <f t="shared" si="17"/>
        <v>0</v>
      </c>
      <c r="J286" s="38">
        <f>MQ!AD286</f>
        <v>0</v>
      </c>
      <c r="K286" s="38">
        <f>MQ!AE286</f>
        <v>0</v>
      </c>
    </row>
    <row r="287" spans="1:11" ht="26.25" hidden="1" customHeight="1">
      <c r="A287" s="286"/>
      <c r="B287" s="197">
        <v>0.98958333333333304</v>
      </c>
      <c r="C287" s="198">
        <v>0</v>
      </c>
      <c r="D287" s="198">
        <v>0</v>
      </c>
      <c r="E287" s="198">
        <v>0</v>
      </c>
      <c r="F287" s="198">
        <v>0</v>
      </c>
      <c r="G287" s="194">
        <f t="shared" si="15"/>
        <v>0</v>
      </c>
      <c r="H287" s="194">
        <f t="shared" si="16"/>
        <v>0</v>
      </c>
      <c r="I287" s="194">
        <f t="shared" si="17"/>
        <v>0</v>
      </c>
      <c r="J287" s="38">
        <f>MQ!AD287</f>
        <v>0</v>
      </c>
      <c r="K287" s="38">
        <f>MQ!AE287</f>
        <v>0</v>
      </c>
    </row>
    <row r="288" spans="1:11" ht="26.25" hidden="1" customHeight="1">
      <c r="A288" s="286"/>
      <c r="B288" s="197">
        <v>0.99305555555555503</v>
      </c>
      <c r="C288" s="198">
        <v>0</v>
      </c>
      <c r="D288" s="198">
        <v>0</v>
      </c>
      <c r="E288" s="198">
        <v>0</v>
      </c>
      <c r="F288" s="198">
        <v>0</v>
      </c>
      <c r="G288" s="194">
        <f t="shared" si="15"/>
        <v>0</v>
      </c>
      <c r="H288" s="194">
        <f t="shared" si="16"/>
        <v>0</v>
      </c>
      <c r="I288" s="194">
        <f t="shared" si="17"/>
        <v>0</v>
      </c>
      <c r="J288" s="38">
        <f>MQ!AD288</f>
        <v>0</v>
      </c>
      <c r="K288" s="38">
        <f>MQ!AE288</f>
        <v>0</v>
      </c>
    </row>
    <row r="289" spans="1:11" ht="26.25" hidden="1" customHeight="1">
      <c r="A289" s="286"/>
      <c r="B289" s="197">
        <v>0.99652777777777701</v>
      </c>
      <c r="C289" s="198">
        <v>0</v>
      </c>
      <c r="D289" s="198">
        <v>0</v>
      </c>
      <c r="E289" s="198">
        <v>0</v>
      </c>
      <c r="F289" s="198">
        <v>0</v>
      </c>
      <c r="G289" s="194">
        <f t="shared" si="15"/>
        <v>0</v>
      </c>
      <c r="H289" s="194">
        <f t="shared" si="16"/>
        <v>0</v>
      </c>
      <c r="I289" s="194">
        <f t="shared" si="17"/>
        <v>0</v>
      </c>
      <c r="J289" s="38">
        <f>MQ!AD289</f>
        <v>0</v>
      </c>
      <c r="K289" s="38">
        <f>MQ!AE289</f>
        <v>0</v>
      </c>
    </row>
    <row r="290" spans="1:11" ht="26.25" hidden="1" customHeight="1">
      <c r="A290" s="286"/>
      <c r="B290" s="197">
        <v>1</v>
      </c>
      <c r="C290" s="198">
        <v>0</v>
      </c>
      <c r="D290" s="198">
        <v>0</v>
      </c>
      <c r="E290" s="198">
        <v>0</v>
      </c>
      <c r="F290" s="198">
        <v>0</v>
      </c>
      <c r="G290" s="194">
        <f t="shared" si="15"/>
        <v>0</v>
      </c>
      <c r="H290" s="194">
        <f t="shared" si="16"/>
        <v>0</v>
      </c>
      <c r="I290" s="194">
        <f t="shared" si="17"/>
        <v>0</v>
      </c>
      <c r="J290" s="38">
        <f>MQ!AD290</f>
        <v>0</v>
      </c>
      <c r="K290" s="38">
        <f>MQ!AE290</f>
        <v>0</v>
      </c>
    </row>
    <row r="291" spans="1:11" ht="26.25" customHeight="1">
      <c r="A291" s="285" t="s">
        <v>73</v>
      </c>
      <c r="B291" s="285"/>
      <c r="C291" s="186">
        <f>SUM(C3:C290)</f>
        <v>0</v>
      </c>
      <c r="D291" s="186">
        <f t="shared" ref="D291:E291" si="18">SUM(D3:D290)</f>
        <v>0</v>
      </c>
      <c r="E291" s="186">
        <f t="shared" si="18"/>
        <v>0</v>
      </c>
      <c r="F291" s="186">
        <f t="shared" ref="F291:K291" si="19">SUM(F3:F290)</f>
        <v>0</v>
      </c>
      <c r="G291" s="186">
        <f t="shared" si="19"/>
        <v>0</v>
      </c>
      <c r="H291" s="186">
        <f t="shared" si="19"/>
        <v>0</v>
      </c>
      <c r="I291" s="186">
        <f t="shared" si="19"/>
        <v>0</v>
      </c>
      <c r="J291" s="36">
        <f t="shared" si="19"/>
        <v>0</v>
      </c>
      <c r="K291" s="36">
        <f t="shared" si="19"/>
        <v>0</v>
      </c>
    </row>
  </sheetData>
  <mergeCells count="35">
    <mergeCell ref="A231:A242"/>
    <mergeCell ref="A243:A254"/>
    <mergeCell ref="A255:A266"/>
    <mergeCell ref="A267:A278"/>
    <mergeCell ref="A171:A182"/>
    <mergeCell ref="A183:A194"/>
    <mergeCell ref="A195:A206"/>
    <mergeCell ref="A207:A218"/>
    <mergeCell ref="A219:A230"/>
    <mergeCell ref="A291:B291"/>
    <mergeCell ref="A135:A146"/>
    <mergeCell ref="A3:A14"/>
    <mergeCell ref="A15:A26"/>
    <mergeCell ref="A27:A38"/>
    <mergeCell ref="A39:A50"/>
    <mergeCell ref="A51:A62"/>
    <mergeCell ref="A63:A74"/>
    <mergeCell ref="A75:A86"/>
    <mergeCell ref="A87:A98"/>
    <mergeCell ref="A99:A110"/>
    <mergeCell ref="A111:A122"/>
    <mergeCell ref="A123:A134"/>
    <mergeCell ref="A279:A290"/>
    <mergeCell ref="A147:A158"/>
    <mergeCell ref="A159:A170"/>
    <mergeCell ref="F1:F2"/>
    <mergeCell ref="J1:K1"/>
    <mergeCell ref="A1:A2"/>
    <mergeCell ref="B1:B2"/>
    <mergeCell ref="C1:C2"/>
    <mergeCell ref="D1:D2"/>
    <mergeCell ref="E1:E2"/>
    <mergeCell ref="H1:H2"/>
    <mergeCell ref="I1:I2"/>
    <mergeCell ref="G1:G2"/>
  </mergeCells>
  <phoneticPr fontId="9" type="noConversion"/>
  <pageMargins left="0.7" right="0.7" top="0.75" bottom="0.75" header="0.3" footer="0.3"/>
  <pageSetup paperSize="9" scale="35" orientation="portrait" horizontalDpi="300" verticalDpi="300" r:id="rId1"/>
  <rowBreaks count="3" manualBreakCount="3">
    <brk id="122" max="6" man="1"/>
    <brk id="182" max="6" man="1"/>
    <brk id="242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EB5A7-7E11-48F6-9F89-AA56A7267013}">
  <sheetPr codeName="Sheet6"/>
  <dimension ref="A1:AH290"/>
  <sheetViews>
    <sheetView view="pageBreakPreview" zoomScaleNormal="100" zoomScaleSheetLayoutView="100" workbookViewId="0">
      <selection activeCell="B3" sqref="B3:Y26"/>
    </sheetView>
  </sheetViews>
  <sheetFormatPr defaultRowHeight="15"/>
  <cols>
    <col min="1" max="25" width="8.42578125" customWidth="1"/>
    <col min="26" max="26" width="9.28515625" customWidth="1"/>
    <col min="27" max="27" width="8.42578125" customWidth="1"/>
    <col min="28" max="28" width="6.28515625" customWidth="1"/>
    <col min="29" max="29" width="13.85546875" style="21" customWidth="1"/>
    <col min="30" max="31" width="13.5703125" style="21" customWidth="1"/>
  </cols>
  <sheetData>
    <row r="1" spans="1:33" s="15" customFormat="1">
      <c r="A1" s="97" t="s">
        <v>121</v>
      </c>
      <c r="B1" s="290" t="s">
        <v>122</v>
      </c>
      <c r="C1" s="290"/>
      <c r="D1" s="290" t="s">
        <v>123</v>
      </c>
      <c r="E1" s="290"/>
      <c r="F1" s="290" t="s">
        <v>124</v>
      </c>
      <c r="G1" s="290"/>
      <c r="H1" s="290" t="s">
        <v>125</v>
      </c>
      <c r="I1" s="290"/>
      <c r="J1" s="290" t="s">
        <v>126</v>
      </c>
      <c r="K1" s="290"/>
      <c r="L1" s="290" t="s">
        <v>127</v>
      </c>
      <c r="M1" s="290"/>
      <c r="N1" s="290" t="s">
        <v>128</v>
      </c>
      <c r="O1" s="290"/>
      <c r="P1" s="290" t="s">
        <v>129</v>
      </c>
      <c r="Q1" s="290"/>
      <c r="R1" s="290" t="s">
        <v>130</v>
      </c>
      <c r="S1" s="290"/>
      <c r="T1" s="290" t="s">
        <v>131</v>
      </c>
      <c r="U1" s="290"/>
      <c r="V1" s="290" t="s">
        <v>132</v>
      </c>
      <c r="W1" s="290"/>
      <c r="X1" s="290" t="s">
        <v>133</v>
      </c>
      <c r="Y1" s="290"/>
      <c r="AC1" s="21"/>
      <c r="AD1" s="98">
        <f>SUM(AD3:AD290)</f>
        <v>0</v>
      </c>
      <c r="AE1" s="98">
        <f>SUM(AE3:AE290)</f>
        <v>0</v>
      </c>
    </row>
    <row r="2" spans="1:33">
      <c r="A2" s="99" t="s">
        <v>136</v>
      </c>
      <c r="B2" s="100" t="s">
        <v>134</v>
      </c>
      <c r="C2" s="100" t="s">
        <v>135</v>
      </c>
      <c r="D2" s="100" t="s">
        <v>134</v>
      </c>
      <c r="E2" s="100" t="s">
        <v>135</v>
      </c>
      <c r="F2" s="100" t="s">
        <v>134</v>
      </c>
      <c r="G2" s="100" t="s">
        <v>135</v>
      </c>
      <c r="H2" s="100" t="s">
        <v>134</v>
      </c>
      <c r="I2" s="100" t="s">
        <v>135</v>
      </c>
      <c r="J2" s="100" t="s">
        <v>134</v>
      </c>
      <c r="K2" s="100" t="s">
        <v>135</v>
      </c>
      <c r="L2" s="100" t="s">
        <v>134</v>
      </c>
      <c r="M2" s="100" t="s">
        <v>135</v>
      </c>
      <c r="N2" s="100" t="s">
        <v>134</v>
      </c>
      <c r="O2" s="100" t="s">
        <v>135</v>
      </c>
      <c r="P2" s="100" t="s">
        <v>134</v>
      </c>
      <c r="Q2" s="100" t="s">
        <v>135</v>
      </c>
      <c r="R2" s="100" t="s">
        <v>134</v>
      </c>
      <c r="S2" s="100" t="s">
        <v>135</v>
      </c>
      <c r="T2" s="100" t="s">
        <v>134</v>
      </c>
      <c r="U2" s="100" t="s">
        <v>135</v>
      </c>
      <c r="V2" s="100" t="s">
        <v>134</v>
      </c>
      <c r="W2" s="100" t="s">
        <v>135</v>
      </c>
      <c r="X2" s="100" t="s">
        <v>134</v>
      </c>
      <c r="Y2" s="100" t="s">
        <v>135</v>
      </c>
      <c r="AC2" s="101" t="s">
        <v>140</v>
      </c>
      <c r="AD2" s="84" t="s">
        <v>134</v>
      </c>
      <c r="AE2" s="86" t="s">
        <v>135</v>
      </c>
      <c r="AF2" s="90"/>
      <c r="AG2" s="90"/>
    </row>
    <row r="3" spans="1:33">
      <c r="A3" s="96">
        <v>0</v>
      </c>
      <c r="B3" s="191"/>
      <c r="C3" s="191"/>
      <c r="D3" s="191"/>
      <c r="E3" s="191"/>
      <c r="F3" s="191"/>
      <c r="G3" s="191"/>
      <c r="H3" s="191"/>
      <c r="I3" s="191"/>
      <c r="J3" s="191"/>
      <c r="K3" s="191"/>
      <c r="L3" s="191"/>
      <c r="M3" s="191"/>
      <c r="N3" s="191"/>
      <c r="O3" s="191"/>
      <c r="P3" s="191"/>
      <c r="Q3" s="191"/>
      <c r="R3" s="191"/>
      <c r="S3" s="191"/>
      <c r="T3" s="191"/>
      <c r="U3" s="191"/>
      <c r="V3" s="191"/>
      <c r="W3" s="191"/>
      <c r="X3" s="191"/>
      <c r="Y3" s="191"/>
      <c r="AC3" s="65" t="s">
        <v>141</v>
      </c>
      <c r="AD3" s="66">
        <f>B56</f>
        <v>0</v>
      </c>
      <c r="AE3" s="66">
        <f>P56</f>
        <v>0</v>
      </c>
    </row>
    <row r="4" spans="1:33">
      <c r="A4" s="96">
        <v>1</v>
      </c>
      <c r="B4" s="191"/>
      <c r="C4" s="191"/>
      <c r="D4" s="191"/>
      <c r="E4" s="191"/>
      <c r="F4" s="191"/>
      <c r="G4" s="191"/>
      <c r="H4" s="191"/>
      <c r="I4" s="191"/>
      <c r="J4" s="191"/>
      <c r="K4" s="191"/>
      <c r="L4" s="191"/>
      <c r="M4" s="191"/>
      <c r="N4" s="191"/>
      <c r="O4" s="191"/>
      <c r="P4" s="191"/>
      <c r="Q4" s="191"/>
      <c r="R4" s="191"/>
      <c r="S4" s="191"/>
      <c r="T4" s="191"/>
      <c r="U4" s="191"/>
      <c r="V4" s="191"/>
      <c r="W4" s="191"/>
      <c r="X4" s="191"/>
      <c r="Y4" s="191"/>
      <c r="AC4" s="65" t="s">
        <v>142</v>
      </c>
      <c r="AD4" s="66">
        <f>C56</f>
        <v>0</v>
      </c>
      <c r="AE4" s="66">
        <f>Q56</f>
        <v>0</v>
      </c>
    </row>
    <row r="5" spans="1:33">
      <c r="A5" s="96">
        <v>2</v>
      </c>
      <c r="B5" s="191"/>
      <c r="C5" s="191"/>
      <c r="D5" s="191"/>
      <c r="E5" s="191"/>
      <c r="F5" s="191"/>
      <c r="G5" s="191"/>
      <c r="H5" s="191"/>
      <c r="I5" s="191"/>
      <c r="J5" s="191"/>
      <c r="K5" s="191"/>
      <c r="L5" s="191"/>
      <c r="M5" s="191"/>
      <c r="N5" s="191"/>
      <c r="O5" s="191"/>
      <c r="P5" s="191"/>
      <c r="Q5" s="191"/>
      <c r="R5" s="191"/>
      <c r="S5" s="191"/>
      <c r="T5" s="191"/>
      <c r="U5" s="191"/>
      <c r="V5" s="191"/>
      <c r="W5" s="191"/>
      <c r="X5" s="191"/>
      <c r="Y5" s="191"/>
      <c r="AC5" s="65" t="s">
        <v>143</v>
      </c>
      <c r="AD5" s="66">
        <f>D56</f>
        <v>0</v>
      </c>
      <c r="AE5" s="66">
        <f>R56</f>
        <v>0</v>
      </c>
    </row>
    <row r="6" spans="1:33">
      <c r="A6" s="96">
        <v>3</v>
      </c>
      <c r="B6" s="191"/>
      <c r="C6" s="191"/>
      <c r="D6" s="191"/>
      <c r="E6" s="191"/>
      <c r="F6" s="191"/>
      <c r="G6" s="191"/>
      <c r="H6" s="191"/>
      <c r="I6" s="191"/>
      <c r="J6" s="191"/>
      <c r="K6" s="191"/>
      <c r="L6" s="191"/>
      <c r="M6" s="191"/>
      <c r="N6" s="191"/>
      <c r="O6" s="191"/>
      <c r="P6" s="191"/>
      <c r="Q6" s="191"/>
      <c r="R6" s="191"/>
      <c r="S6" s="191"/>
      <c r="T6" s="191"/>
      <c r="U6" s="191"/>
      <c r="V6" s="191"/>
      <c r="W6" s="191"/>
      <c r="X6" s="191"/>
      <c r="Y6" s="191"/>
      <c r="AC6" s="65" t="s">
        <v>144</v>
      </c>
      <c r="AD6" s="66">
        <f>E56</f>
        <v>0</v>
      </c>
      <c r="AE6" s="66">
        <f>S56</f>
        <v>0</v>
      </c>
    </row>
    <row r="7" spans="1:33">
      <c r="A7" s="96">
        <v>4</v>
      </c>
      <c r="B7" s="191"/>
      <c r="C7" s="191"/>
      <c r="D7" s="191"/>
      <c r="E7" s="191"/>
      <c r="F7" s="191"/>
      <c r="G7" s="19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191"/>
      <c r="V7" s="191"/>
      <c r="W7" s="191"/>
      <c r="X7" s="191"/>
      <c r="Y7" s="191"/>
      <c r="AC7" s="65" t="s">
        <v>145</v>
      </c>
      <c r="AD7" s="66">
        <f>F56</f>
        <v>0</v>
      </c>
      <c r="AE7" s="66">
        <f>T56</f>
        <v>0</v>
      </c>
    </row>
    <row r="8" spans="1:33">
      <c r="A8" s="96">
        <v>5</v>
      </c>
      <c r="B8" s="191"/>
      <c r="C8" s="191"/>
      <c r="D8" s="191"/>
      <c r="E8" s="191"/>
      <c r="F8" s="191"/>
      <c r="G8" s="191"/>
      <c r="H8" s="191"/>
      <c r="I8" s="191"/>
      <c r="J8" s="191"/>
      <c r="K8" s="191"/>
      <c r="L8" s="191"/>
      <c r="M8" s="191"/>
      <c r="N8" s="191"/>
      <c r="O8" s="191"/>
      <c r="P8" s="191"/>
      <c r="Q8" s="191"/>
      <c r="R8" s="191"/>
      <c r="S8" s="191"/>
      <c r="T8" s="191"/>
      <c r="U8" s="191"/>
      <c r="V8" s="191"/>
      <c r="W8" s="191"/>
      <c r="X8" s="191"/>
      <c r="Y8" s="191"/>
      <c r="AC8" s="65" t="s">
        <v>146</v>
      </c>
      <c r="AD8" s="66">
        <f>G56</f>
        <v>0</v>
      </c>
      <c r="AE8" s="66">
        <f>U56</f>
        <v>0</v>
      </c>
    </row>
    <row r="9" spans="1:33">
      <c r="A9" s="96">
        <v>6</v>
      </c>
      <c r="B9" s="191"/>
      <c r="C9" s="191"/>
      <c r="D9" s="191"/>
      <c r="E9" s="191"/>
      <c r="F9" s="191"/>
      <c r="G9" s="191"/>
      <c r="H9" s="191"/>
      <c r="I9" s="191"/>
      <c r="J9" s="191"/>
      <c r="K9" s="191"/>
      <c r="L9" s="191"/>
      <c r="M9" s="191"/>
      <c r="N9" s="191"/>
      <c r="O9" s="191"/>
      <c r="P9" s="191"/>
      <c r="Q9" s="191"/>
      <c r="R9" s="191"/>
      <c r="S9" s="191"/>
      <c r="T9" s="191"/>
      <c r="U9" s="191"/>
      <c r="V9" s="191"/>
      <c r="W9" s="191"/>
      <c r="X9" s="191"/>
      <c r="Y9" s="191"/>
      <c r="AC9" s="65" t="s">
        <v>147</v>
      </c>
      <c r="AD9" s="66">
        <f>H56</f>
        <v>0</v>
      </c>
      <c r="AE9" s="66">
        <f>V56</f>
        <v>0</v>
      </c>
    </row>
    <row r="10" spans="1:33">
      <c r="A10" s="96">
        <v>7</v>
      </c>
      <c r="B10" s="191"/>
      <c r="C10" s="191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1"/>
      <c r="Q10" s="191"/>
      <c r="R10" s="191"/>
      <c r="S10" s="191"/>
      <c r="T10" s="191"/>
      <c r="U10" s="191"/>
      <c r="V10" s="191"/>
      <c r="W10" s="191"/>
      <c r="X10" s="191"/>
      <c r="Y10" s="191"/>
      <c r="AC10" s="65" t="s">
        <v>148</v>
      </c>
      <c r="AD10" s="66">
        <f>I56</f>
        <v>0</v>
      </c>
      <c r="AE10" s="66">
        <f>W56</f>
        <v>0</v>
      </c>
    </row>
    <row r="11" spans="1:33">
      <c r="A11" s="96">
        <v>8</v>
      </c>
      <c r="B11" s="191"/>
      <c r="C11" s="191"/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191"/>
      <c r="O11" s="191"/>
      <c r="P11" s="191"/>
      <c r="Q11" s="191"/>
      <c r="R11" s="191"/>
      <c r="S11" s="191"/>
      <c r="T11" s="191"/>
      <c r="U11" s="191"/>
      <c r="V11" s="191"/>
      <c r="W11" s="191"/>
      <c r="X11" s="191"/>
      <c r="Y11" s="191"/>
      <c r="AC11" s="65" t="s">
        <v>149</v>
      </c>
      <c r="AD11" s="66">
        <f>J56</f>
        <v>0</v>
      </c>
      <c r="AE11" s="66">
        <f>X56</f>
        <v>0</v>
      </c>
    </row>
    <row r="12" spans="1:33">
      <c r="A12" s="96">
        <v>9</v>
      </c>
      <c r="B12" s="191"/>
      <c r="C12" s="191"/>
      <c r="D12" s="191"/>
      <c r="E12" s="191"/>
      <c r="F12" s="191"/>
      <c r="G12" s="191"/>
      <c r="H12" s="191"/>
      <c r="I12" s="191"/>
      <c r="J12" s="191"/>
      <c r="K12" s="191"/>
      <c r="L12" s="191"/>
      <c r="M12" s="191"/>
      <c r="N12" s="191"/>
      <c r="O12" s="191"/>
      <c r="P12" s="191"/>
      <c r="Q12" s="191"/>
      <c r="R12" s="191"/>
      <c r="S12" s="191"/>
      <c r="T12" s="191"/>
      <c r="U12" s="191"/>
      <c r="V12" s="191"/>
      <c r="W12" s="191"/>
      <c r="X12" s="191"/>
      <c r="Y12" s="191"/>
      <c r="AC12" s="65" t="s">
        <v>150</v>
      </c>
      <c r="AD12" s="66">
        <f>K56</f>
        <v>0</v>
      </c>
      <c r="AE12" s="66">
        <f>Y56</f>
        <v>0</v>
      </c>
    </row>
    <row r="13" spans="1:33">
      <c r="A13" s="96">
        <v>10</v>
      </c>
      <c r="B13" s="191"/>
      <c r="C13" s="191"/>
      <c r="D13" s="191"/>
      <c r="E13" s="191"/>
      <c r="F13" s="191"/>
      <c r="G13" s="191"/>
      <c r="H13" s="191"/>
      <c r="I13" s="191"/>
      <c r="J13" s="191"/>
      <c r="K13" s="191"/>
      <c r="L13" s="191"/>
      <c r="M13" s="191"/>
      <c r="N13" s="191"/>
      <c r="O13" s="191"/>
      <c r="P13" s="191"/>
      <c r="Q13" s="191"/>
      <c r="R13" s="191"/>
      <c r="S13" s="191"/>
      <c r="T13" s="191"/>
      <c r="U13" s="191"/>
      <c r="V13" s="191"/>
      <c r="W13" s="191"/>
      <c r="X13" s="191"/>
      <c r="Y13" s="191"/>
      <c r="AC13" s="65" t="s">
        <v>151</v>
      </c>
      <c r="AD13" s="66">
        <f>L56</f>
        <v>0</v>
      </c>
      <c r="AE13" s="66">
        <f>Z56</f>
        <v>0</v>
      </c>
    </row>
    <row r="14" spans="1:33">
      <c r="A14" s="96">
        <v>11</v>
      </c>
      <c r="B14" s="191"/>
      <c r="C14" s="191"/>
      <c r="D14" s="191"/>
      <c r="E14" s="191"/>
      <c r="F14" s="191"/>
      <c r="G14" s="191"/>
      <c r="H14" s="191"/>
      <c r="I14" s="191"/>
      <c r="J14" s="191"/>
      <c r="K14" s="191"/>
      <c r="L14" s="191"/>
      <c r="M14" s="191"/>
      <c r="N14" s="191"/>
      <c r="O14" s="191"/>
      <c r="P14" s="191"/>
      <c r="Q14" s="191"/>
      <c r="R14" s="191"/>
      <c r="S14" s="191"/>
      <c r="T14" s="191"/>
      <c r="U14" s="191"/>
      <c r="V14" s="191"/>
      <c r="W14" s="191"/>
      <c r="X14" s="191"/>
      <c r="Y14" s="191"/>
      <c r="AC14" s="65" t="s">
        <v>152</v>
      </c>
      <c r="AD14" s="66">
        <f>M56</f>
        <v>0</v>
      </c>
      <c r="AE14" s="66">
        <f>AA56</f>
        <v>0</v>
      </c>
      <c r="AF14" s="79"/>
      <c r="AG14" s="79"/>
    </row>
    <row r="15" spans="1:33">
      <c r="A15" s="96">
        <v>12</v>
      </c>
      <c r="B15" s="191"/>
      <c r="C15" s="191"/>
      <c r="D15" s="191"/>
      <c r="E15" s="191"/>
      <c r="F15" s="191"/>
      <c r="G15" s="191"/>
      <c r="H15" s="191"/>
      <c r="I15" s="191"/>
      <c r="J15" s="191"/>
      <c r="K15" s="191"/>
      <c r="L15" s="191"/>
      <c r="M15" s="191"/>
      <c r="N15" s="191"/>
      <c r="O15" s="191"/>
      <c r="P15" s="191"/>
      <c r="Q15" s="191"/>
      <c r="R15" s="191"/>
      <c r="S15" s="191"/>
      <c r="T15" s="191"/>
      <c r="U15" s="191"/>
      <c r="V15" s="191"/>
      <c r="W15" s="191"/>
      <c r="X15" s="191"/>
      <c r="Y15" s="191"/>
      <c r="AC15" s="28" t="s">
        <v>153</v>
      </c>
      <c r="AD15" s="81">
        <f>B57</f>
        <v>0</v>
      </c>
      <c r="AE15" s="81">
        <f>P57</f>
        <v>0</v>
      </c>
    </row>
    <row r="16" spans="1:33">
      <c r="A16" s="96">
        <v>13</v>
      </c>
      <c r="B16" s="191"/>
      <c r="C16" s="191"/>
      <c r="D16" s="191"/>
      <c r="E16" s="191"/>
      <c r="F16" s="191"/>
      <c r="G16" s="191"/>
      <c r="H16" s="191"/>
      <c r="I16" s="191"/>
      <c r="J16" s="191"/>
      <c r="K16" s="191"/>
      <c r="L16" s="191"/>
      <c r="M16" s="191"/>
      <c r="N16" s="191"/>
      <c r="O16" s="191"/>
      <c r="P16" s="191"/>
      <c r="Q16" s="191"/>
      <c r="R16" s="191"/>
      <c r="S16" s="191"/>
      <c r="T16" s="191"/>
      <c r="U16" s="191"/>
      <c r="V16" s="191"/>
      <c r="W16" s="191"/>
      <c r="X16" s="191"/>
      <c r="Y16" s="191"/>
      <c r="AC16" s="28" t="s">
        <v>154</v>
      </c>
      <c r="AD16" s="81">
        <f>C57</f>
        <v>0</v>
      </c>
      <c r="AE16" s="81">
        <f>Q57</f>
        <v>0</v>
      </c>
    </row>
    <row r="17" spans="1:33">
      <c r="A17" s="96">
        <v>14</v>
      </c>
      <c r="B17" s="191"/>
      <c r="C17" s="191"/>
      <c r="D17" s="191"/>
      <c r="E17" s="191"/>
      <c r="F17" s="191"/>
      <c r="G17" s="191"/>
      <c r="H17" s="191"/>
      <c r="I17" s="191"/>
      <c r="J17" s="191"/>
      <c r="K17" s="191"/>
      <c r="L17" s="191"/>
      <c r="M17" s="191"/>
      <c r="N17" s="191"/>
      <c r="O17" s="191"/>
      <c r="P17" s="191"/>
      <c r="Q17" s="191"/>
      <c r="R17" s="191"/>
      <c r="S17" s="191"/>
      <c r="T17" s="191"/>
      <c r="U17" s="191"/>
      <c r="V17" s="191"/>
      <c r="W17" s="191"/>
      <c r="X17" s="191"/>
      <c r="Y17" s="191"/>
      <c r="AC17" s="28" t="s">
        <v>155</v>
      </c>
      <c r="AD17" s="81">
        <f>D57</f>
        <v>0</v>
      </c>
      <c r="AE17" s="81">
        <f>R57</f>
        <v>0</v>
      </c>
    </row>
    <row r="18" spans="1:33">
      <c r="A18" s="96">
        <v>15</v>
      </c>
      <c r="B18" s="191"/>
      <c r="C18" s="191"/>
      <c r="D18" s="191"/>
      <c r="E18" s="191"/>
      <c r="F18" s="191"/>
      <c r="G18" s="191"/>
      <c r="H18" s="191"/>
      <c r="I18" s="191"/>
      <c r="J18" s="191"/>
      <c r="K18" s="191"/>
      <c r="L18" s="191"/>
      <c r="M18" s="191"/>
      <c r="N18" s="191"/>
      <c r="O18" s="191"/>
      <c r="P18" s="191"/>
      <c r="Q18" s="191"/>
      <c r="R18" s="191"/>
      <c r="S18" s="191"/>
      <c r="T18" s="191"/>
      <c r="U18" s="191"/>
      <c r="V18" s="191"/>
      <c r="W18" s="191"/>
      <c r="X18" s="191"/>
      <c r="Y18" s="191"/>
      <c r="AC18" s="28" t="s">
        <v>156</v>
      </c>
      <c r="AD18" s="81">
        <f>E57</f>
        <v>0</v>
      </c>
      <c r="AE18" s="81">
        <f>S57</f>
        <v>0</v>
      </c>
    </row>
    <row r="19" spans="1:33">
      <c r="A19" s="96">
        <v>16</v>
      </c>
      <c r="B19" s="191"/>
      <c r="C19" s="191"/>
      <c r="D19" s="191"/>
      <c r="E19" s="191"/>
      <c r="F19" s="191"/>
      <c r="G19" s="191"/>
      <c r="H19" s="191"/>
      <c r="I19" s="191"/>
      <c r="J19" s="191"/>
      <c r="K19" s="191"/>
      <c r="L19" s="191"/>
      <c r="M19" s="191"/>
      <c r="N19" s="191"/>
      <c r="O19" s="191"/>
      <c r="P19" s="191"/>
      <c r="Q19" s="191"/>
      <c r="R19" s="191"/>
      <c r="S19" s="191"/>
      <c r="T19" s="191"/>
      <c r="U19" s="191"/>
      <c r="V19" s="191"/>
      <c r="W19" s="191"/>
      <c r="X19" s="191"/>
      <c r="Y19" s="191"/>
      <c r="AC19" s="28" t="s">
        <v>157</v>
      </c>
      <c r="AD19" s="81">
        <f>F57</f>
        <v>0</v>
      </c>
      <c r="AE19" s="81">
        <f>T57</f>
        <v>0</v>
      </c>
    </row>
    <row r="20" spans="1:33">
      <c r="A20" s="96">
        <v>17</v>
      </c>
      <c r="B20" s="191"/>
      <c r="C20" s="191"/>
      <c r="D20" s="191"/>
      <c r="E20" s="191"/>
      <c r="F20" s="191"/>
      <c r="G20" s="191"/>
      <c r="H20" s="191"/>
      <c r="I20" s="191"/>
      <c r="J20" s="191"/>
      <c r="K20" s="191"/>
      <c r="L20" s="191"/>
      <c r="M20" s="191"/>
      <c r="N20" s="191"/>
      <c r="O20" s="191"/>
      <c r="P20" s="191"/>
      <c r="Q20" s="191"/>
      <c r="R20" s="191"/>
      <c r="S20" s="191"/>
      <c r="T20" s="191"/>
      <c r="U20" s="191"/>
      <c r="V20" s="191"/>
      <c r="W20" s="191"/>
      <c r="X20" s="191"/>
      <c r="Y20" s="191"/>
      <c r="AC20" s="28" t="s">
        <v>158</v>
      </c>
      <c r="AD20" s="81">
        <f>G57</f>
        <v>0</v>
      </c>
      <c r="AE20" s="81">
        <f>U57</f>
        <v>0</v>
      </c>
    </row>
    <row r="21" spans="1:33">
      <c r="A21" s="96">
        <v>18</v>
      </c>
      <c r="B21" s="191"/>
      <c r="C21" s="191"/>
      <c r="D21" s="191"/>
      <c r="E21" s="191"/>
      <c r="F21" s="191"/>
      <c r="G21" s="191"/>
      <c r="H21" s="191"/>
      <c r="I21" s="191"/>
      <c r="J21" s="191"/>
      <c r="K21" s="191"/>
      <c r="L21" s="191"/>
      <c r="M21" s="191"/>
      <c r="N21" s="191"/>
      <c r="O21" s="191"/>
      <c r="P21" s="191"/>
      <c r="Q21" s="191"/>
      <c r="R21" s="191"/>
      <c r="S21" s="191"/>
      <c r="T21" s="191"/>
      <c r="U21" s="191"/>
      <c r="V21" s="191"/>
      <c r="W21" s="191"/>
      <c r="X21" s="191"/>
      <c r="Y21" s="191"/>
      <c r="AC21" s="28" t="s">
        <v>159</v>
      </c>
      <c r="AD21" s="81">
        <f>H57</f>
        <v>0</v>
      </c>
      <c r="AE21" s="81">
        <f>V57</f>
        <v>0</v>
      </c>
    </row>
    <row r="22" spans="1:33">
      <c r="A22" s="96">
        <v>19</v>
      </c>
      <c r="B22" s="191"/>
      <c r="C22" s="191"/>
      <c r="D22" s="191"/>
      <c r="E22" s="191"/>
      <c r="F22" s="191"/>
      <c r="G22" s="191"/>
      <c r="H22" s="191"/>
      <c r="I22" s="191"/>
      <c r="J22" s="191"/>
      <c r="K22" s="191"/>
      <c r="L22" s="191"/>
      <c r="M22" s="191"/>
      <c r="N22" s="191"/>
      <c r="O22" s="191"/>
      <c r="P22" s="191"/>
      <c r="Q22" s="191"/>
      <c r="R22" s="191"/>
      <c r="S22" s="191"/>
      <c r="T22" s="191"/>
      <c r="U22" s="191"/>
      <c r="V22" s="191"/>
      <c r="W22" s="191"/>
      <c r="X22" s="191"/>
      <c r="Y22" s="191"/>
      <c r="AC22" s="28" t="s">
        <v>160</v>
      </c>
      <c r="AD22" s="81">
        <f>I57</f>
        <v>0</v>
      </c>
      <c r="AE22" s="81">
        <f>W57</f>
        <v>0</v>
      </c>
    </row>
    <row r="23" spans="1:33">
      <c r="A23" s="96">
        <v>20</v>
      </c>
      <c r="B23" s="191"/>
      <c r="C23" s="191"/>
      <c r="D23" s="191"/>
      <c r="E23" s="191"/>
      <c r="F23" s="191"/>
      <c r="G23" s="191"/>
      <c r="H23" s="191"/>
      <c r="I23" s="191"/>
      <c r="J23" s="191"/>
      <c r="K23" s="191"/>
      <c r="L23" s="191"/>
      <c r="M23" s="191"/>
      <c r="N23" s="191"/>
      <c r="O23" s="191"/>
      <c r="P23" s="191"/>
      <c r="Q23" s="191"/>
      <c r="R23" s="191"/>
      <c r="S23" s="191"/>
      <c r="T23" s="191"/>
      <c r="U23" s="191"/>
      <c r="V23" s="191"/>
      <c r="W23" s="191"/>
      <c r="X23" s="191"/>
      <c r="Y23" s="191"/>
      <c r="AC23" s="28" t="s">
        <v>161</v>
      </c>
      <c r="AD23" s="81">
        <f>J57</f>
        <v>0</v>
      </c>
      <c r="AE23" s="81">
        <f>X57</f>
        <v>0</v>
      </c>
    </row>
    <row r="24" spans="1:33">
      <c r="A24" s="96">
        <v>21</v>
      </c>
      <c r="B24" s="191"/>
      <c r="C24" s="191"/>
      <c r="D24" s="191"/>
      <c r="E24" s="191"/>
      <c r="F24" s="191"/>
      <c r="G24" s="191"/>
      <c r="H24" s="191"/>
      <c r="I24" s="191"/>
      <c r="J24" s="191"/>
      <c r="K24" s="191"/>
      <c r="L24" s="191"/>
      <c r="M24" s="191"/>
      <c r="N24" s="191"/>
      <c r="O24" s="191"/>
      <c r="P24" s="191"/>
      <c r="Q24" s="191"/>
      <c r="R24" s="191"/>
      <c r="S24" s="191"/>
      <c r="T24" s="191"/>
      <c r="U24" s="191"/>
      <c r="V24" s="191"/>
      <c r="W24" s="191"/>
      <c r="X24" s="191"/>
      <c r="Y24" s="191"/>
      <c r="AC24" s="28" t="s">
        <v>162</v>
      </c>
      <c r="AD24" s="81">
        <f>K57</f>
        <v>0</v>
      </c>
      <c r="AE24" s="81">
        <f>Y57</f>
        <v>0</v>
      </c>
    </row>
    <row r="25" spans="1:33">
      <c r="A25" s="96">
        <v>22</v>
      </c>
      <c r="B25" s="191"/>
      <c r="C25" s="191"/>
      <c r="D25" s="191"/>
      <c r="E25" s="191"/>
      <c r="F25" s="191"/>
      <c r="G25" s="191"/>
      <c r="H25" s="191"/>
      <c r="I25" s="191"/>
      <c r="J25" s="191"/>
      <c r="K25" s="191"/>
      <c r="L25" s="191"/>
      <c r="M25" s="191"/>
      <c r="N25" s="191"/>
      <c r="O25" s="191"/>
      <c r="P25" s="191"/>
      <c r="Q25" s="191"/>
      <c r="R25" s="191"/>
      <c r="S25" s="191"/>
      <c r="T25" s="191"/>
      <c r="U25" s="191"/>
      <c r="V25" s="191"/>
      <c r="W25" s="191"/>
      <c r="X25" s="191"/>
      <c r="Y25" s="191"/>
      <c r="Z25" s="95"/>
      <c r="AA25" s="95"/>
      <c r="AC25" s="28" t="s">
        <v>163</v>
      </c>
      <c r="AD25" s="81">
        <f>L57</f>
        <v>0</v>
      </c>
      <c r="AE25" s="81">
        <f>Z57</f>
        <v>0</v>
      </c>
    </row>
    <row r="26" spans="1:33">
      <c r="A26" s="96">
        <v>23</v>
      </c>
      <c r="B26" s="191"/>
      <c r="C26" s="191"/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191"/>
      <c r="O26" s="191"/>
      <c r="P26" s="191"/>
      <c r="Q26" s="191"/>
      <c r="R26" s="191"/>
      <c r="S26" s="191"/>
      <c r="T26" s="191"/>
      <c r="U26" s="191"/>
      <c r="V26" s="191"/>
      <c r="W26" s="191"/>
      <c r="X26" s="191"/>
      <c r="Y26" s="191"/>
      <c r="Z26" s="79"/>
      <c r="AA26" s="79"/>
      <c r="AC26" s="28" t="s">
        <v>164</v>
      </c>
      <c r="AD26" s="81">
        <f>M57</f>
        <v>0</v>
      </c>
      <c r="AE26" s="81">
        <f>AA57</f>
        <v>0</v>
      </c>
      <c r="AF26" s="79"/>
      <c r="AG26" s="79"/>
    </row>
    <row r="27" spans="1:33">
      <c r="AB27" s="15"/>
      <c r="AC27" s="65" t="s">
        <v>165</v>
      </c>
      <c r="AD27" s="66">
        <f>B58</f>
        <v>0</v>
      </c>
      <c r="AE27" s="66">
        <f>P58</f>
        <v>0</v>
      </c>
    </row>
    <row r="28" spans="1:33" s="15" customFormat="1">
      <c r="A28" s="67" t="s">
        <v>121</v>
      </c>
      <c r="B28" s="289" t="s">
        <v>122</v>
      </c>
      <c r="C28" s="289"/>
      <c r="D28" s="289" t="s">
        <v>123</v>
      </c>
      <c r="E28" s="289"/>
      <c r="F28" s="289" t="s">
        <v>124</v>
      </c>
      <c r="G28" s="289"/>
      <c r="H28" s="289" t="s">
        <v>125</v>
      </c>
      <c r="I28" s="289"/>
      <c r="J28" s="289" t="s">
        <v>126</v>
      </c>
      <c r="K28" s="289"/>
      <c r="L28" s="289" t="s">
        <v>127</v>
      </c>
      <c r="M28" s="289"/>
      <c r="N28" s="289" t="s">
        <v>128</v>
      </c>
      <c r="O28" s="289"/>
      <c r="P28" s="289" t="s">
        <v>129</v>
      </c>
      <c r="Q28" s="289"/>
      <c r="R28" s="289" t="s">
        <v>130</v>
      </c>
      <c r="S28" s="289"/>
      <c r="T28" s="289" t="s">
        <v>131</v>
      </c>
      <c r="U28" s="289"/>
      <c r="V28" s="289" t="s">
        <v>132</v>
      </c>
      <c r="W28" s="289"/>
      <c r="X28" s="289" t="s">
        <v>133</v>
      </c>
      <c r="Y28" s="289"/>
      <c r="AB28"/>
      <c r="AC28" s="65" t="s">
        <v>166</v>
      </c>
      <c r="AD28" s="66">
        <f>C58</f>
        <v>0</v>
      </c>
      <c r="AE28" s="66">
        <f>Q58</f>
        <v>0</v>
      </c>
    </row>
    <row r="29" spans="1:33">
      <c r="A29" s="68" t="s">
        <v>137</v>
      </c>
      <c r="B29" s="69" t="s">
        <v>134</v>
      </c>
      <c r="C29" s="70" t="s">
        <v>135</v>
      </c>
      <c r="D29" s="69" t="s">
        <v>134</v>
      </c>
      <c r="E29" s="70" t="s">
        <v>135</v>
      </c>
      <c r="F29" s="69" t="s">
        <v>134</v>
      </c>
      <c r="G29" s="70" t="s">
        <v>135</v>
      </c>
      <c r="H29" s="69" t="s">
        <v>134</v>
      </c>
      <c r="I29" s="70" t="s">
        <v>135</v>
      </c>
      <c r="J29" s="69" t="s">
        <v>134</v>
      </c>
      <c r="K29" s="70" t="s">
        <v>135</v>
      </c>
      <c r="L29" s="69" t="s">
        <v>134</v>
      </c>
      <c r="M29" s="70" t="s">
        <v>135</v>
      </c>
      <c r="N29" s="69" t="s">
        <v>134</v>
      </c>
      <c r="O29" s="70" t="s">
        <v>135</v>
      </c>
      <c r="P29" s="69" t="s">
        <v>134</v>
      </c>
      <c r="Q29" s="70" t="s">
        <v>135</v>
      </c>
      <c r="R29" s="69" t="s">
        <v>134</v>
      </c>
      <c r="S29" s="70" t="s">
        <v>135</v>
      </c>
      <c r="T29" s="69" t="s">
        <v>134</v>
      </c>
      <c r="U29" s="70" t="s">
        <v>135</v>
      </c>
      <c r="V29" s="69" t="s">
        <v>134</v>
      </c>
      <c r="W29" s="70" t="s">
        <v>135</v>
      </c>
      <c r="X29" s="69" t="s">
        <v>134</v>
      </c>
      <c r="Y29" s="70" t="s">
        <v>135</v>
      </c>
      <c r="AC29" s="71" t="s">
        <v>167</v>
      </c>
      <c r="AD29" s="72">
        <f>D58</f>
        <v>0</v>
      </c>
      <c r="AE29" s="73">
        <f>R58</f>
        <v>0</v>
      </c>
    </row>
    <row r="30" spans="1:33">
      <c r="A30" s="74">
        <v>0</v>
      </c>
      <c r="B30" s="75">
        <f t="shared" ref="B30:Y30" si="0">B3/1000</f>
        <v>0</v>
      </c>
      <c r="C30" s="75">
        <f t="shared" si="0"/>
        <v>0</v>
      </c>
      <c r="D30" s="75">
        <f t="shared" si="0"/>
        <v>0</v>
      </c>
      <c r="E30" s="75">
        <f t="shared" si="0"/>
        <v>0</v>
      </c>
      <c r="F30" s="75">
        <f t="shared" si="0"/>
        <v>0</v>
      </c>
      <c r="G30" s="75">
        <f t="shared" si="0"/>
        <v>0</v>
      </c>
      <c r="H30" s="75">
        <f t="shared" si="0"/>
        <v>0</v>
      </c>
      <c r="I30" s="75">
        <f t="shared" si="0"/>
        <v>0</v>
      </c>
      <c r="J30" s="75">
        <f t="shared" si="0"/>
        <v>0</v>
      </c>
      <c r="K30" s="75">
        <f t="shared" si="0"/>
        <v>0</v>
      </c>
      <c r="L30" s="75">
        <f t="shared" si="0"/>
        <v>0</v>
      </c>
      <c r="M30" s="75">
        <f t="shared" si="0"/>
        <v>0</v>
      </c>
      <c r="N30" s="75">
        <f t="shared" si="0"/>
        <v>0</v>
      </c>
      <c r="O30" s="75">
        <f t="shared" si="0"/>
        <v>0</v>
      </c>
      <c r="P30" s="75">
        <f t="shared" si="0"/>
        <v>0</v>
      </c>
      <c r="Q30" s="75">
        <f t="shared" si="0"/>
        <v>0</v>
      </c>
      <c r="R30" s="75">
        <f t="shared" si="0"/>
        <v>0</v>
      </c>
      <c r="S30" s="75">
        <f t="shared" si="0"/>
        <v>0</v>
      </c>
      <c r="T30" s="75">
        <f t="shared" si="0"/>
        <v>0</v>
      </c>
      <c r="U30" s="75">
        <f t="shared" si="0"/>
        <v>0</v>
      </c>
      <c r="V30" s="75">
        <f t="shared" si="0"/>
        <v>0</v>
      </c>
      <c r="W30" s="75">
        <f t="shared" si="0"/>
        <v>0</v>
      </c>
      <c r="X30" s="75">
        <f t="shared" si="0"/>
        <v>0</v>
      </c>
      <c r="Y30" s="75">
        <f t="shared" si="0"/>
        <v>0</v>
      </c>
      <c r="AC30" s="65" t="s">
        <v>168</v>
      </c>
      <c r="AD30" s="66">
        <f>E58</f>
        <v>0</v>
      </c>
      <c r="AE30" s="66">
        <f>S58</f>
        <v>0</v>
      </c>
    </row>
    <row r="31" spans="1:33">
      <c r="A31" s="74">
        <v>1</v>
      </c>
      <c r="B31" s="76">
        <f t="shared" ref="B31:Y31" si="1">B4/1000</f>
        <v>0</v>
      </c>
      <c r="C31" s="76">
        <f t="shared" si="1"/>
        <v>0</v>
      </c>
      <c r="D31" s="76">
        <f t="shared" si="1"/>
        <v>0</v>
      </c>
      <c r="E31" s="76">
        <f t="shared" si="1"/>
        <v>0</v>
      </c>
      <c r="F31" s="76">
        <f t="shared" si="1"/>
        <v>0</v>
      </c>
      <c r="G31" s="76">
        <f t="shared" si="1"/>
        <v>0</v>
      </c>
      <c r="H31" s="76">
        <f t="shared" si="1"/>
        <v>0</v>
      </c>
      <c r="I31" s="76">
        <f t="shared" si="1"/>
        <v>0</v>
      </c>
      <c r="J31" s="76">
        <f t="shared" si="1"/>
        <v>0</v>
      </c>
      <c r="K31" s="76">
        <f t="shared" si="1"/>
        <v>0</v>
      </c>
      <c r="L31" s="76">
        <f t="shared" si="1"/>
        <v>0</v>
      </c>
      <c r="M31" s="76">
        <f t="shared" si="1"/>
        <v>0</v>
      </c>
      <c r="N31" s="76">
        <f t="shared" si="1"/>
        <v>0</v>
      </c>
      <c r="O31" s="76">
        <f t="shared" si="1"/>
        <v>0</v>
      </c>
      <c r="P31" s="76">
        <f t="shared" si="1"/>
        <v>0</v>
      </c>
      <c r="Q31" s="76">
        <f t="shared" si="1"/>
        <v>0</v>
      </c>
      <c r="R31" s="76">
        <f t="shared" si="1"/>
        <v>0</v>
      </c>
      <c r="S31" s="76">
        <f t="shared" si="1"/>
        <v>0</v>
      </c>
      <c r="T31" s="76">
        <f t="shared" si="1"/>
        <v>0</v>
      </c>
      <c r="U31" s="76">
        <f t="shared" si="1"/>
        <v>0</v>
      </c>
      <c r="V31" s="76">
        <f t="shared" si="1"/>
        <v>0</v>
      </c>
      <c r="W31" s="76">
        <f t="shared" si="1"/>
        <v>0</v>
      </c>
      <c r="X31" s="76">
        <f t="shared" si="1"/>
        <v>0</v>
      </c>
      <c r="Y31" s="76">
        <f t="shared" si="1"/>
        <v>0</v>
      </c>
      <c r="AC31" s="65" t="s">
        <v>169</v>
      </c>
      <c r="AD31" s="66">
        <f>F58</f>
        <v>0</v>
      </c>
      <c r="AE31" s="66">
        <f>T58</f>
        <v>0</v>
      </c>
    </row>
    <row r="32" spans="1:33">
      <c r="A32" s="74">
        <v>2</v>
      </c>
      <c r="B32" s="75">
        <f t="shared" ref="B32:Y32" si="2">B5/1000</f>
        <v>0</v>
      </c>
      <c r="C32" s="75">
        <f t="shared" si="2"/>
        <v>0</v>
      </c>
      <c r="D32" s="75">
        <f t="shared" si="2"/>
        <v>0</v>
      </c>
      <c r="E32" s="75">
        <f t="shared" si="2"/>
        <v>0</v>
      </c>
      <c r="F32" s="75">
        <f t="shared" si="2"/>
        <v>0</v>
      </c>
      <c r="G32" s="75">
        <f t="shared" si="2"/>
        <v>0</v>
      </c>
      <c r="H32" s="75">
        <f t="shared" si="2"/>
        <v>0</v>
      </c>
      <c r="I32" s="75">
        <f t="shared" si="2"/>
        <v>0</v>
      </c>
      <c r="J32" s="75">
        <f t="shared" si="2"/>
        <v>0</v>
      </c>
      <c r="K32" s="75">
        <f t="shared" si="2"/>
        <v>0</v>
      </c>
      <c r="L32" s="75">
        <f t="shared" si="2"/>
        <v>0</v>
      </c>
      <c r="M32" s="75">
        <f t="shared" si="2"/>
        <v>0</v>
      </c>
      <c r="N32" s="75">
        <f t="shared" si="2"/>
        <v>0</v>
      </c>
      <c r="O32" s="75">
        <f t="shared" si="2"/>
        <v>0</v>
      </c>
      <c r="P32" s="75">
        <f t="shared" si="2"/>
        <v>0</v>
      </c>
      <c r="Q32" s="75">
        <f t="shared" si="2"/>
        <v>0</v>
      </c>
      <c r="R32" s="75">
        <f t="shared" si="2"/>
        <v>0</v>
      </c>
      <c r="S32" s="75">
        <f t="shared" si="2"/>
        <v>0</v>
      </c>
      <c r="T32" s="75">
        <f t="shared" si="2"/>
        <v>0</v>
      </c>
      <c r="U32" s="75">
        <f t="shared" si="2"/>
        <v>0</v>
      </c>
      <c r="V32" s="75">
        <f t="shared" si="2"/>
        <v>0</v>
      </c>
      <c r="W32" s="75">
        <f t="shared" si="2"/>
        <v>0</v>
      </c>
      <c r="X32" s="75">
        <f t="shared" si="2"/>
        <v>0</v>
      </c>
      <c r="Y32" s="75">
        <f t="shared" si="2"/>
        <v>0</v>
      </c>
      <c r="AC32" s="65" t="s">
        <v>170</v>
      </c>
      <c r="AD32" s="66">
        <f>G58</f>
        <v>0</v>
      </c>
      <c r="AE32" s="66">
        <f>U58</f>
        <v>0</v>
      </c>
    </row>
    <row r="33" spans="1:34">
      <c r="A33" s="74">
        <v>3</v>
      </c>
      <c r="B33" s="76">
        <f t="shared" ref="B33:Y33" si="3">B6/1000</f>
        <v>0</v>
      </c>
      <c r="C33" s="76">
        <f t="shared" si="3"/>
        <v>0</v>
      </c>
      <c r="D33" s="76">
        <f t="shared" si="3"/>
        <v>0</v>
      </c>
      <c r="E33" s="76">
        <f t="shared" si="3"/>
        <v>0</v>
      </c>
      <c r="F33" s="76">
        <f t="shared" si="3"/>
        <v>0</v>
      </c>
      <c r="G33" s="76">
        <f t="shared" si="3"/>
        <v>0</v>
      </c>
      <c r="H33" s="76">
        <f t="shared" si="3"/>
        <v>0</v>
      </c>
      <c r="I33" s="76">
        <f t="shared" si="3"/>
        <v>0</v>
      </c>
      <c r="J33" s="76">
        <f t="shared" si="3"/>
        <v>0</v>
      </c>
      <c r="K33" s="76">
        <f t="shared" si="3"/>
        <v>0</v>
      </c>
      <c r="L33" s="76">
        <f t="shared" si="3"/>
        <v>0</v>
      </c>
      <c r="M33" s="76">
        <f t="shared" si="3"/>
        <v>0</v>
      </c>
      <c r="N33" s="76">
        <f t="shared" si="3"/>
        <v>0</v>
      </c>
      <c r="O33" s="76">
        <f t="shared" si="3"/>
        <v>0</v>
      </c>
      <c r="P33" s="76">
        <f t="shared" si="3"/>
        <v>0</v>
      </c>
      <c r="Q33" s="76">
        <f t="shared" si="3"/>
        <v>0</v>
      </c>
      <c r="R33" s="76">
        <f t="shared" si="3"/>
        <v>0</v>
      </c>
      <c r="S33" s="76">
        <f t="shared" si="3"/>
        <v>0</v>
      </c>
      <c r="T33" s="76">
        <f t="shared" si="3"/>
        <v>0</v>
      </c>
      <c r="U33" s="76">
        <f t="shared" si="3"/>
        <v>0</v>
      </c>
      <c r="V33" s="76">
        <f t="shared" si="3"/>
        <v>0</v>
      </c>
      <c r="W33" s="76">
        <f t="shared" si="3"/>
        <v>0</v>
      </c>
      <c r="X33" s="76">
        <f t="shared" si="3"/>
        <v>0</v>
      </c>
      <c r="Y33" s="76">
        <f t="shared" si="3"/>
        <v>0</v>
      </c>
      <c r="AB33" s="77"/>
      <c r="AC33" s="65" t="s">
        <v>171</v>
      </c>
      <c r="AD33" s="66">
        <f>H58</f>
        <v>0</v>
      </c>
      <c r="AE33" s="66">
        <f>V58</f>
        <v>0</v>
      </c>
    </row>
    <row r="34" spans="1:34">
      <c r="A34" s="74">
        <v>4</v>
      </c>
      <c r="B34" s="75">
        <f t="shared" ref="B34:Y34" si="4">B7/1000</f>
        <v>0</v>
      </c>
      <c r="C34" s="75">
        <f t="shared" si="4"/>
        <v>0</v>
      </c>
      <c r="D34" s="75">
        <f t="shared" si="4"/>
        <v>0</v>
      </c>
      <c r="E34" s="75">
        <f t="shared" si="4"/>
        <v>0</v>
      </c>
      <c r="F34" s="75">
        <f t="shared" si="4"/>
        <v>0</v>
      </c>
      <c r="G34" s="75">
        <f t="shared" si="4"/>
        <v>0</v>
      </c>
      <c r="H34" s="75">
        <f t="shared" si="4"/>
        <v>0</v>
      </c>
      <c r="I34" s="75">
        <f t="shared" si="4"/>
        <v>0</v>
      </c>
      <c r="J34" s="75">
        <f t="shared" si="4"/>
        <v>0</v>
      </c>
      <c r="K34" s="75">
        <f t="shared" si="4"/>
        <v>0</v>
      </c>
      <c r="L34" s="75">
        <f t="shared" si="4"/>
        <v>0</v>
      </c>
      <c r="M34" s="75">
        <f t="shared" si="4"/>
        <v>0</v>
      </c>
      <c r="N34" s="75">
        <f t="shared" si="4"/>
        <v>0</v>
      </c>
      <c r="O34" s="75">
        <f t="shared" si="4"/>
        <v>0</v>
      </c>
      <c r="P34" s="75">
        <f t="shared" si="4"/>
        <v>0</v>
      </c>
      <c r="Q34" s="75">
        <f t="shared" si="4"/>
        <v>0</v>
      </c>
      <c r="R34" s="75">
        <f t="shared" si="4"/>
        <v>0</v>
      </c>
      <c r="S34" s="75">
        <f t="shared" si="4"/>
        <v>0</v>
      </c>
      <c r="T34" s="75">
        <f t="shared" si="4"/>
        <v>0</v>
      </c>
      <c r="U34" s="75">
        <f t="shared" si="4"/>
        <v>0</v>
      </c>
      <c r="V34" s="75">
        <f t="shared" si="4"/>
        <v>0</v>
      </c>
      <c r="W34" s="75">
        <f t="shared" si="4"/>
        <v>0</v>
      </c>
      <c r="X34" s="75">
        <f t="shared" si="4"/>
        <v>0</v>
      </c>
      <c r="Y34" s="75">
        <f t="shared" si="4"/>
        <v>0</v>
      </c>
      <c r="AC34" s="65" t="s">
        <v>172</v>
      </c>
      <c r="AD34" s="66">
        <f>I58</f>
        <v>0</v>
      </c>
      <c r="AE34" s="66">
        <f>W58</f>
        <v>0</v>
      </c>
    </row>
    <row r="35" spans="1:34" s="77" customFormat="1">
      <c r="A35" s="78">
        <v>5</v>
      </c>
      <c r="B35" s="76">
        <f t="shared" ref="B35:Y35" si="5">B8/1000</f>
        <v>0</v>
      </c>
      <c r="C35" s="76">
        <f t="shared" si="5"/>
        <v>0</v>
      </c>
      <c r="D35" s="76">
        <f t="shared" si="5"/>
        <v>0</v>
      </c>
      <c r="E35" s="76">
        <f t="shared" si="5"/>
        <v>0</v>
      </c>
      <c r="F35" s="76">
        <f t="shared" si="5"/>
        <v>0</v>
      </c>
      <c r="G35" s="76">
        <f t="shared" si="5"/>
        <v>0</v>
      </c>
      <c r="H35" s="76">
        <f t="shared" si="5"/>
        <v>0</v>
      </c>
      <c r="I35" s="76">
        <f t="shared" si="5"/>
        <v>0</v>
      </c>
      <c r="J35" s="76">
        <f t="shared" si="5"/>
        <v>0</v>
      </c>
      <c r="K35" s="76">
        <f t="shared" si="5"/>
        <v>0</v>
      </c>
      <c r="L35" s="76">
        <f t="shared" si="5"/>
        <v>0</v>
      </c>
      <c r="M35" s="76">
        <f t="shared" si="5"/>
        <v>0</v>
      </c>
      <c r="N35" s="76">
        <f t="shared" si="5"/>
        <v>0</v>
      </c>
      <c r="O35" s="76">
        <f t="shared" si="5"/>
        <v>0</v>
      </c>
      <c r="P35" s="76">
        <f t="shared" si="5"/>
        <v>0</v>
      </c>
      <c r="Q35" s="76">
        <f t="shared" si="5"/>
        <v>0</v>
      </c>
      <c r="R35" s="76">
        <f t="shared" si="5"/>
        <v>0</v>
      </c>
      <c r="S35" s="76">
        <f t="shared" si="5"/>
        <v>0</v>
      </c>
      <c r="T35" s="76">
        <f t="shared" si="5"/>
        <v>0</v>
      </c>
      <c r="U35" s="76">
        <f t="shared" si="5"/>
        <v>0</v>
      </c>
      <c r="V35" s="76">
        <f t="shared" si="5"/>
        <v>0</v>
      </c>
      <c r="W35" s="76">
        <f t="shared" si="5"/>
        <v>0</v>
      </c>
      <c r="X35" s="76">
        <f t="shared" si="5"/>
        <v>0</v>
      </c>
      <c r="Y35" s="76">
        <f t="shared" si="5"/>
        <v>0</v>
      </c>
      <c r="AC35" s="65" t="s">
        <v>173</v>
      </c>
      <c r="AD35" s="66">
        <f>J58</f>
        <v>0</v>
      </c>
      <c r="AE35" s="66">
        <f>X58</f>
        <v>0</v>
      </c>
      <c r="AF35"/>
      <c r="AG35"/>
      <c r="AH35"/>
    </row>
    <row r="36" spans="1:34">
      <c r="A36" s="74">
        <v>6</v>
      </c>
      <c r="B36" s="75">
        <f t="shared" ref="B36:Y36" si="6">B9/1000</f>
        <v>0</v>
      </c>
      <c r="C36" s="75">
        <f t="shared" si="6"/>
        <v>0</v>
      </c>
      <c r="D36" s="75">
        <f t="shared" si="6"/>
        <v>0</v>
      </c>
      <c r="E36" s="75">
        <f t="shared" si="6"/>
        <v>0</v>
      </c>
      <c r="F36" s="75">
        <f t="shared" si="6"/>
        <v>0</v>
      </c>
      <c r="G36" s="75">
        <f t="shared" si="6"/>
        <v>0</v>
      </c>
      <c r="H36" s="75">
        <f t="shared" si="6"/>
        <v>0</v>
      </c>
      <c r="I36" s="75">
        <f t="shared" si="6"/>
        <v>0</v>
      </c>
      <c r="J36" s="75">
        <f t="shared" si="6"/>
        <v>0</v>
      </c>
      <c r="K36" s="75">
        <f t="shared" si="6"/>
        <v>0</v>
      </c>
      <c r="L36" s="75">
        <f t="shared" si="6"/>
        <v>0</v>
      </c>
      <c r="M36" s="75">
        <f t="shared" si="6"/>
        <v>0</v>
      </c>
      <c r="N36" s="75">
        <f t="shared" si="6"/>
        <v>0</v>
      </c>
      <c r="O36" s="75">
        <f t="shared" si="6"/>
        <v>0</v>
      </c>
      <c r="P36" s="75">
        <f t="shared" si="6"/>
        <v>0</v>
      </c>
      <c r="Q36" s="75">
        <f t="shared" si="6"/>
        <v>0</v>
      </c>
      <c r="R36" s="75">
        <f t="shared" si="6"/>
        <v>0</v>
      </c>
      <c r="S36" s="75">
        <f t="shared" si="6"/>
        <v>0</v>
      </c>
      <c r="T36" s="75">
        <f t="shared" si="6"/>
        <v>0</v>
      </c>
      <c r="U36" s="75">
        <f t="shared" si="6"/>
        <v>0</v>
      </c>
      <c r="V36" s="75">
        <f t="shared" si="6"/>
        <v>0</v>
      </c>
      <c r="W36" s="75">
        <f t="shared" si="6"/>
        <v>0</v>
      </c>
      <c r="X36" s="75">
        <f t="shared" si="6"/>
        <v>0</v>
      </c>
      <c r="Y36" s="75">
        <f t="shared" si="6"/>
        <v>0</v>
      </c>
      <c r="AC36" s="65" t="s">
        <v>174</v>
      </c>
      <c r="AD36" s="66">
        <f>K58</f>
        <v>0</v>
      </c>
      <c r="AE36" s="66">
        <f>Y58</f>
        <v>0</v>
      </c>
    </row>
    <row r="37" spans="1:34" s="77" customFormat="1">
      <c r="A37" s="78">
        <v>7</v>
      </c>
      <c r="B37" s="76">
        <f t="shared" ref="B37:Y37" si="7">B10/1000</f>
        <v>0</v>
      </c>
      <c r="C37" s="76">
        <f t="shared" si="7"/>
        <v>0</v>
      </c>
      <c r="D37" s="76">
        <f t="shared" si="7"/>
        <v>0</v>
      </c>
      <c r="E37" s="76">
        <f t="shared" si="7"/>
        <v>0</v>
      </c>
      <c r="F37" s="76">
        <f t="shared" si="7"/>
        <v>0</v>
      </c>
      <c r="G37" s="76">
        <f t="shared" si="7"/>
        <v>0</v>
      </c>
      <c r="H37" s="76">
        <f t="shared" si="7"/>
        <v>0</v>
      </c>
      <c r="I37" s="76">
        <f t="shared" si="7"/>
        <v>0</v>
      </c>
      <c r="J37" s="76">
        <f t="shared" si="7"/>
        <v>0</v>
      </c>
      <c r="K37" s="76">
        <f t="shared" si="7"/>
        <v>0</v>
      </c>
      <c r="L37" s="76">
        <f t="shared" si="7"/>
        <v>0</v>
      </c>
      <c r="M37" s="76">
        <f t="shared" si="7"/>
        <v>0</v>
      </c>
      <c r="N37" s="76">
        <f t="shared" si="7"/>
        <v>0</v>
      </c>
      <c r="O37" s="76">
        <f t="shared" si="7"/>
        <v>0</v>
      </c>
      <c r="P37" s="76">
        <f t="shared" si="7"/>
        <v>0</v>
      </c>
      <c r="Q37" s="76">
        <f t="shared" si="7"/>
        <v>0</v>
      </c>
      <c r="R37" s="76">
        <f t="shared" si="7"/>
        <v>0</v>
      </c>
      <c r="S37" s="76">
        <f t="shared" si="7"/>
        <v>0</v>
      </c>
      <c r="T37" s="76">
        <f t="shared" si="7"/>
        <v>0</v>
      </c>
      <c r="U37" s="76">
        <f t="shared" si="7"/>
        <v>0</v>
      </c>
      <c r="V37" s="76">
        <f t="shared" si="7"/>
        <v>0</v>
      </c>
      <c r="W37" s="76">
        <f t="shared" si="7"/>
        <v>0</v>
      </c>
      <c r="X37" s="76">
        <f t="shared" si="7"/>
        <v>0</v>
      </c>
      <c r="Y37" s="76">
        <f t="shared" si="7"/>
        <v>0</v>
      </c>
      <c r="AC37" s="65" t="s">
        <v>175</v>
      </c>
      <c r="AD37" s="66">
        <f>L58</f>
        <v>0</v>
      </c>
      <c r="AE37" s="66">
        <f>Z58</f>
        <v>0</v>
      </c>
      <c r="AF37"/>
      <c r="AG37"/>
      <c r="AH37"/>
    </row>
    <row r="38" spans="1:34">
      <c r="A38" s="74">
        <v>8</v>
      </c>
      <c r="B38" s="75">
        <f t="shared" ref="B38:Y38" si="8">B11/1000</f>
        <v>0</v>
      </c>
      <c r="C38" s="75">
        <f t="shared" si="8"/>
        <v>0</v>
      </c>
      <c r="D38" s="75">
        <f t="shared" si="8"/>
        <v>0</v>
      </c>
      <c r="E38" s="75">
        <f t="shared" si="8"/>
        <v>0</v>
      </c>
      <c r="F38" s="75">
        <f t="shared" si="8"/>
        <v>0</v>
      </c>
      <c r="G38" s="75">
        <f t="shared" si="8"/>
        <v>0</v>
      </c>
      <c r="H38" s="75">
        <f t="shared" si="8"/>
        <v>0</v>
      </c>
      <c r="I38" s="75">
        <f t="shared" si="8"/>
        <v>0</v>
      </c>
      <c r="J38" s="75">
        <f t="shared" si="8"/>
        <v>0</v>
      </c>
      <c r="K38" s="75">
        <f t="shared" si="8"/>
        <v>0</v>
      </c>
      <c r="L38" s="75">
        <f t="shared" si="8"/>
        <v>0</v>
      </c>
      <c r="M38" s="75">
        <f t="shared" si="8"/>
        <v>0</v>
      </c>
      <c r="N38" s="75">
        <f t="shared" si="8"/>
        <v>0</v>
      </c>
      <c r="O38" s="75">
        <f t="shared" si="8"/>
        <v>0</v>
      </c>
      <c r="P38" s="75">
        <f t="shared" si="8"/>
        <v>0</v>
      </c>
      <c r="Q38" s="75">
        <f t="shared" si="8"/>
        <v>0</v>
      </c>
      <c r="R38" s="75">
        <f t="shared" si="8"/>
        <v>0</v>
      </c>
      <c r="S38" s="75">
        <f t="shared" si="8"/>
        <v>0</v>
      </c>
      <c r="T38" s="75">
        <f t="shared" si="8"/>
        <v>0</v>
      </c>
      <c r="U38" s="75">
        <f t="shared" si="8"/>
        <v>0</v>
      </c>
      <c r="V38" s="75">
        <f t="shared" si="8"/>
        <v>0</v>
      </c>
      <c r="W38" s="75">
        <f t="shared" si="8"/>
        <v>0</v>
      </c>
      <c r="X38" s="75">
        <f t="shared" si="8"/>
        <v>0</v>
      </c>
      <c r="Y38" s="75">
        <f t="shared" si="8"/>
        <v>0</v>
      </c>
      <c r="AC38" s="65" t="s">
        <v>176</v>
      </c>
      <c r="AD38" s="66">
        <f>M58</f>
        <v>0</v>
      </c>
      <c r="AE38" s="66">
        <f>AA58</f>
        <v>0</v>
      </c>
      <c r="AF38" s="79"/>
      <c r="AG38" s="79"/>
    </row>
    <row r="39" spans="1:34" s="77" customFormat="1">
      <c r="A39" s="78">
        <v>9</v>
      </c>
      <c r="B39" s="76">
        <f t="shared" ref="B39:Y39" si="9">B12/1000</f>
        <v>0</v>
      </c>
      <c r="C39" s="76">
        <f t="shared" si="9"/>
        <v>0</v>
      </c>
      <c r="D39" s="76">
        <f t="shared" si="9"/>
        <v>0</v>
      </c>
      <c r="E39" s="76">
        <f t="shared" si="9"/>
        <v>0</v>
      </c>
      <c r="F39" s="76">
        <f t="shared" si="9"/>
        <v>0</v>
      </c>
      <c r="G39" s="76">
        <f t="shared" si="9"/>
        <v>0</v>
      </c>
      <c r="H39" s="76">
        <f t="shared" si="9"/>
        <v>0</v>
      </c>
      <c r="I39" s="76">
        <f t="shared" si="9"/>
        <v>0</v>
      </c>
      <c r="J39" s="76">
        <f t="shared" si="9"/>
        <v>0</v>
      </c>
      <c r="K39" s="76">
        <f t="shared" si="9"/>
        <v>0</v>
      </c>
      <c r="L39" s="76">
        <f t="shared" si="9"/>
        <v>0</v>
      </c>
      <c r="M39" s="76">
        <f t="shared" si="9"/>
        <v>0</v>
      </c>
      <c r="N39" s="76">
        <f t="shared" si="9"/>
        <v>0</v>
      </c>
      <c r="O39" s="76">
        <f t="shared" si="9"/>
        <v>0</v>
      </c>
      <c r="P39" s="76">
        <f t="shared" si="9"/>
        <v>0</v>
      </c>
      <c r="Q39" s="76">
        <f t="shared" si="9"/>
        <v>0</v>
      </c>
      <c r="R39" s="76">
        <f t="shared" si="9"/>
        <v>0</v>
      </c>
      <c r="S39" s="76">
        <f t="shared" si="9"/>
        <v>0</v>
      </c>
      <c r="T39" s="76">
        <f t="shared" si="9"/>
        <v>0</v>
      </c>
      <c r="U39" s="76">
        <f t="shared" si="9"/>
        <v>0</v>
      </c>
      <c r="V39" s="76">
        <f t="shared" si="9"/>
        <v>0</v>
      </c>
      <c r="W39" s="76">
        <f t="shared" si="9"/>
        <v>0</v>
      </c>
      <c r="X39" s="76">
        <f t="shared" si="9"/>
        <v>0</v>
      </c>
      <c r="Y39" s="76">
        <f t="shared" si="9"/>
        <v>0</v>
      </c>
      <c r="AC39" s="28" t="s">
        <v>177</v>
      </c>
      <c r="AD39" s="80">
        <f>B59</f>
        <v>0</v>
      </c>
      <c r="AE39" s="81">
        <f>P59</f>
        <v>0</v>
      </c>
      <c r="AF39"/>
      <c r="AG39"/>
      <c r="AH39"/>
    </row>
    <row r="40" spans="1:34">
      <c r="A40" s="74">
        <v>10</v>
      </c>
      <c r="B40" s="75">
        <f t="shared" ref="B40:Y40" si="10">B13/1000</f>
        <v>0</v>
      </c>
      <c r="C40" s="75">
        <f t="shared" si="10"/>
        <v>0</v>
      </c>
      <c r="D40" s="75">
        <f t="shared" si="10"/>
        <v>0</v>
      </c>
      <c r="E40" s="75">
        <f t="shared" si="10"/>
        <v>0</v>
      </c>
      <c r="F40" s="75">
        <f t="shared" si="10"/>
        <v>0</v>
      </c>
      <c r="G40" s="75">
        <f t="shared" si="10"/>
        <v>0</v>
      </c>
      <c r="H40" s="75">
        <f t="shared" si="10"/>
        <v>0</v>
      </c>
      <c r="I40" s="75">
        <f t="shared" si="10"/>
        <v>0</v>
      </c>
      <c r="J40" s="75">
        <f t="shared" si="10"/>
        <v>0</v>
      </c>
      <c r="K40" s="75">
        <f t="shared" si="10"/>
        <v>0</v>
      </c>
      <c r="L40" s="75">
        <f t="shared" si="10"/>
        <v>0</v>
      </c>
      <c r="M40" s="75">
        <f t="shared" si="10"/>
        <v>0</v>
      </c>
      <c r="N40" s="75">
        <f t="shared" si="10"/>
        <v>0</v>
      </c>
      <c r="O40" s="75">
        <f t="shared" si="10"/>
        <v>0</v>
      </c>
      <c r="P40" s="75">
        <f t="shared" si="10"/>
        <v>0</v>
      </c>
      <c r="Q40" s="75">
        <f t="shared" si="10"/>
        <v>0</v>
      </c>
      <c r="R40" s="75">
        <f t="shared" si="10"/>
        <v>0</v>
      </c>
      <c r="S40" s="75">
        <f t="shared" si="10"/>
        <v>0</v>
      </c>
      <c r="T40" s="75">
        <f t="shared" si="10"/>
        <v>0</v>
      </c>
      <c r="U40" s="75">
        <f t="shared" si="10"/>
        <v>0</v>
      </c>
      <c r="V40" s="75">
        <f t="shared" si="10"/>
        <v>0</v>
      </c>
      <c r="W40" s="75">
        <f t="shared" si="10"/>
        <v>0</v>
      </c>
      <c r="X40" s="75">
        <f t="shared" si="10"/>
        <v>0</v>
      </c>
      <c r="Y40" s="75">
        <f t="shared" si="10"/>
        <v>0</v>
      </c>
      <c r="AC40" s="28" t="s">
        <v>178</v>
      </c>
      <c r="AD40" s="81">
        <f>C59</f>
        <v>0</v>
      </c>
      <c r="AE40" s="81">
        <f>Q59</f>
        <v>0</v>
      </c>
    </row>
    <row r="41" spans="1:34">
      <c r="A41" s="74">
        <v>11</v>
      </c>
      <c r="B41" s="75">
        <f t="shared" ref="B41:Y41" si="11">B14/1000</f>
        <v>0</v>
      </c>
      <c r="C41" s="75">
        <f t="shared" si="11"/>
        <v>0</v>
      </c>
      <c r="D41" s="75">
        <f t="shared" si="11"/>
        <v>0</v>
      </c>
      <c r="E41" s="75">
        <f t="shared" si="11"/>
        <v>0</v>
      </c>
      <c r="F41" s="75">
        <f t="shared" si="11"/>
        <v>0</v>
      </c>
      <c r="G41" s="75">
        <f t="shared" si="11"/>
        <v>0</v>
      </c>
      <c r="H41" s="75">
        <f t="shared" si="11"/>
        <v>0</v>
      </c>
      <c r="I41" s="75">
        <f t="shared" si="11"/>
        <v>0</v>
      </c>
      <c r="J41" s="75">
        <f t="shared" si="11"/>
        <v>0</v>
      </c>
      <c r="K41" s="75">
        <f t="shared" si="11"/>
        <v>0</v>
      </c>
      <c r="L41" s="75">
        <f t="shared" si="11"/>
        <v>0</v>
      </c>
      <c r="M41" s="75">
        <f t="shared" si="11"/>
        <v>0</v>
      </c>
      <c r="N41" s="75">
        <f t="shared" si="11"/>
        <v>0</v>
      </c>
      <c r="O41" s="75">
        <f t="shared" si="11"/>
        <v>0</v>
      </c>
      <c r="P41" s="75">
        <f t="shared" si="11"/>
        <v>0</v>
      </c>
      <c r="Q41" s="75">
        <f t="shared" si="11"/>
        <v>0</v>
      </c>
      <c r="R41" s="75">
        <f t="shared" si="11"/>
        <v>0</v>
      </c>
      <c r="S41" s="75">
        <f t="shared" si="11"/>
        <v>0</v>
      </c>
      <c r="T41" s="75">
        <f t="shared" si="11"/>
        <v>0</v>
      </c>
      <c r="U41" s="75">
        <f t="shared" si="11"/>
        <v>0</v>
      </c>
      <c r="V41" s="75">
        <f t="shared" si="11"/>
        <v>0</v>
      </c>
      <c r="W41" s="75">
        <f t="shared" si="11"/>
        <v>0</v>
      </c>
      <c r="X41" s="75">
        <f t="shared" si="11"/>
        <v>0</v>
      </c>
      <c r="Y41" s="75">
        <f t="shared" si="11"/>
        <v>0</v>
      </c>
      <c r="AC41" s="28" t="s">
        <v>179</v>
      </c>
      <c r="AD41" s="81">
        <f>D59</f>
        <v>0</v>
      </c>
      <c r="AE41" s="81">
        <f>R59</f>
        <v>0</v>
      </c>
    </row>
    <row r="42" spans="1:34">
      <c r="A42" s="74">
        <v>12</v>
      </c>
      <c r="B42" s="75">
        <f t="shared" ref="B42:Y42" si="12">B15/1000</f>
        <v>0</v>
      </c>
      <c r="C42" s="75">
        <f t="shared" si="12"/>
        <v>0</v>
      </c>
      <c r="D42" s="75">
        <f t="shared" si="12"/>
        <v>0</v>
      </c>
      <c r="E42" s="75">
        <f t="shared" si="12"/>
        <v>0</v>
      </c>
      <c r="F42" s="75">
        <f t="shared" si="12"/>
        <v>0</v>
      </c>
      <c r="G42" s="75">
        <f t="shared" si="12"/>
        <v>0</v>
      </c>
      <c r="H42" s="75">
        <f t="shared" si="12"/>
        <v>0</v>
      </c>
      <c r="I42" s="75">
        <f t="shared" si="12"/>
        <v>0</v>
      </c>
      <c r="J42" s="75">
        <f t="shared" si="12"/>
        <v>0</v>
      </c>
      <c r="K42" s="75">
        <f t="shared" si="12"/>
        <v>0</v>
      </c>
      <c r="L42" s="75">
        <f t="shared" si="12"/>
        <v>0</v>
      </c>
      <c r="M42" s="75">
        <f t="shared" si="12"/>
        <v>0</v>
      </c>
      <c r="N42" s="75">
        <f t="shared" si="12"/>
        <v>0</v>
      </c>
      <c r="O42" s="75">
        <f t="shared" si="12"/>
        <v>0</v>
      </c>
      <c r="P42" s="75">
        <f t="shared" si="12"/>
        <v>0</v>
      </c>
      <c r="Q42" s="75">
        <f t="shared" si="12"/>
        <v>0</v>
      </c>
      <c r="R42" s="75">
        <f t="shared" si="12"/>
        <v>0</v>
      </c>
      <c r="S42" s="75">
        <f t="shared" si="12"/>
        <v>0</v>
      </c>
      <c r="T42" s="75">
        <f t="shared" si="12"/>
        <v>0</v>
      </c>
      <c r="U42" s="75">
        <f t="shared" si="12"/>
        <v>0</v>
      </c>
      <c r="V42" s="75">
        <f t="shared" si="12"/>
        <v>0</v>
      </c>
      <c r="W42" s="75">
        <f t="shared" si="12"/>
        <v>0</v>
      </c>
      <c r="X42" s="75">
        <f t="shared" si="12"/>
        <v>0</v>
      </c>
      <c r="Y42" s="75">
        <f t="shared" si="12"/>
        <v>0</v>
      </c>
      <c r="AC42" s="28" t="s">
        <v>180</v>
      </c>
      <c r="AD42" s="81">
        <f>E59</f>
        <v>0</v>
      </c>
      <c r="AE42" s="81">
        <f>S59</f>
        <v>0</v>
      </c>
    </row>
    <row r="43" spans="1:34">
      <c r="A43" s="74">
        <v>13</v>
      </c>
      <c r="B43" s="75">
        <f t="shared" ref="B43:Y43" si="13">B16/1000</f>
        <v>0</v>
      </c>
      <c r="C43" s="75">
        <f t="shared" si="13"/>
        <v>0</v>
      </c>
      <c r="D43" s="75">
        <f t="shared" si="13"/>
        <v>0</v>
      </c>
      <c r="E43" s="75">
        <f t="shared" si="13"/>
        <v>0</v>
      </c>
      <c r="F43" s="75">
        <f t="shared" si="13"/>
        <v>0</v>
      </c>
      <c r="G43" s="75">
        <f t="shared" si="13"/>
        <v>0</v>
      </c>
      <c r="H43" s="75">
        <f t="shared" si="13"/>
        <v>0</v>
      </c>
      <c r="I43" s="75">
        <f t="shared" si="13"/>
        <v>0</v>
      </c>
      <c r="J43" s="75">
        <f t="shared" si="13"/>
        <v>0</v>
      </c>
      <c r="K43" s="75">
        <f t="shared" si="13"/>
        <v>0</v>
      </c>
      <c r="L43" s="75">
        <f t="shared" si="13"/>
        <v>0</v>
      </c>
      <c r="M43" s="75">
        <f t="shared" si="13"/>
        <v>0</v>
      </c>
      <c r="N43" s="75">
        <f t="shared" si="13"/>
        <v>0</v>
      </c>
      <c r="O43" s="75">
        <f t="shared" si="13"/>
        <v>0</v>
      </c>
      <c r="P43" s="75">
        <f t="shared" si="13"/>
        <v>0</v>
      </c>
      <c r="Q43" s="75">
        <f t="shared" si="13"/>
        <v>0</v>
      </c>
      <c r="R43" s="75">
        <f t="shared" si="13"/>
        <v>0</v>
      </c>
      <c r="S43" s="75">
        <f t="shared" si="13"/>
        <v>0</v>
      </c>
      <c r="T43" s="75">
        <f t="shared" si="13"/>
        <v>0</v>
      </c>
      <c r="U43" s="75">
        <f t="shared" si="13"/>
        <v>0</v>
      </c>
      <c r="V43" s="75">
        <f t="shared" si="13"/>
        <v>0</v>
      </c>
      <c r="W43" s="75">
        <f t="shared" si="13"/>
        <v>0</v>
      </c>
      <c r="X43" s="75">
        <f t="shared" si="13"/>
        <v>0</v>
      </c>
      <c r="Y43" s="75">
        <f t="shared" si="13"/>
        <v>0</v>
      </c>
      <c r="AC43" s="28" t="s">
        <v>181</v>
      </c>
      <c r="AD43" s="81">
        <f>F59</f>
        <v>0</v>
      </c>
      <c r="AE43" s="81">
        <f>T59</f>
        <v>0</v>
      </c>
    </row>
    <row r="44" spans="1:34">
      <c r="A44" s="74">
        <v>14</v>
      </c>
      <c r="B44" s="75">
        <f t="shared" ref="B44:Y44" si="14">B17/1000</f>
        <v>0</v>
      </c>
      <c r="C44" s="75">
        <f t="shared" si="14"/>
        <v>0</v>
      </c>
      <c r="D44" s="75">
        <f t="shared" si="14"/>
        <v>0</v>
      </c>
      <c r="E44" s="75">
        <f t="shared" si="14"/>
        <v>0</v>
      </c>
      <c r="F44" s="75">
        <f t="shared" si="14"/>
        <v>0</v>
      </c>
      <c r="G44" s="75">
        <f t="shared" si="14"/>
        <v>0</v>
      </c>
      <c r="H44" s="75">
        <f t="shared" si="14"/>
        <v>0</v>
      </c>
      <c r="I44" s="75">
        <f t="shared" si="14"/>
        <v>0</v>
      </c>
      <c r="J44" s="75">
        <f t="shared" si="14"/>
        <v>0</v>
      </c>
      <c r="K44" s="75">
        <f t="shared" si="14"/>
        <v>0</v>
      </c>
      <c r="L44" s="75">
        <f t="shared" si="14"/>
        <v>0</v>
      </c>
      <c r="M44" s="75">
        <f t="shared" si="14"/>
        <v>0</v>
      </c>
      <c r="N44" s="75">
        <f t="shared" si="14"/>
        <v>0</v>
      </c>
      <c r="O44" s="75">
        <f t="shared" si="14"/>
        <v>0</v>
      </c>
      <c r="P44" s="75">
        <f t="shared" si="14"/>
        <v>0</v>
      </c>
      <c r="Q44" s="75">
        <f t="shared" si="14"/>
        <v>0</v>
      </c>
      <c r="R44" s="75">
        <f t="shared" si="14"/>
        <v>0</v>
      </c>
      <c r="S44" s="75">
        <f t="shared" si="14"/>
        <v>0</v>
      </c>
      <c r="T44" s="75">
        <f t="shared" si="14"/>
        <v>0</v>
      </c>
      <c r="U44" s="75">
        <f t="shared" si="14"/>
        <v>0</v>
      </c>
      <c r="V44" s="75">
        <f t="shared" si="14"/>
        <v>0</v>
      </c>
      <c r="W44" s="75">
        <f t="shared" si="14"/>
        <v>0</v>
      </c>
      <c r="X44" s="75">
        <f t="shared" si="14"/>
        <v>0</v>
      </c>
      <c r="Y44" s="75">
        <f t="shared" si="14"/>
        <v>0</v>
      </c>
      <c r="AC44" s="28" t="s">
        <v>182</v>
      </c>
      <c r="AD44" s="81">
        <f>G59</f>
        <v>0</v>
      </c>
      <c r="AE44" s="81">
        <f>U59</f>
        <v>0</v>
      </c>
    </row>
    <row r="45" spans="1:34" s="77" customFormat="1">
      <c r="A45" s="78">
        <v>15</v>
      </c>
      <c r="B45" s="76">
        <f t="shared" ref="B45:Y45" si="15">B18/1000</f>
        <v>0</v>
      </c>
      <c r="C45" s="76">
        <f t="shared" si="15"/>
        <v>0</v>
      </c>
      <c r="D45" s="76">
        <f t="shared" si="15"/>
        <v>0</v>
      </c>
      <c r="E45" s="76">
        <f t="shared" si="15"/>
        <v>0</v>
      </c>
      <c r="F45" s="76">
        <f t="shared" si="15"/>
        <v>0</v>
      </c>
      <c r="G45" s="76">
        <f t="shared" si="15"/>
        <v>0</v>
      </c>
      <c r="H45" s="76">
        <f t="shared" si="15"/>
        <v>0</v>
      </c>
      <c r="I45" s="76">
        <f t="shared" si="15"/>
        <v>0</v>
      </c>
      <c r="J45" s="76">
        <f t="shared" si="15"/>
        <v>0</v>
      </c>
      <c r="K45" s="76">
        <f t="shared" si="15"/>
        <v>0</v>
      </c>
      <c r="L45" s="76">
        <f t="shared" si="15"/>
        <v>0</v>
      </c>
      <c r="M45" s="76">
        <f t="shared" si="15"/>
        <v>0</v>
      </c>
      <c r="N45" s="76">
        <f t="shared" si="15"/>
        <v>0</v>
      </c>
      <c r="O45" s="76">
        <f t="shared" si="15"/>
        <v>0</v>
      </c>
      <c r="P45" s="76">
        <f t="shared" si="15"/>
        <v>0</v>
      </c>
      <c r="Q45" s="76">
        <f t="shared" si="15"/>
        <v>0</v>
      </c>
      <c r="R45" s="76">
        <f t="shared" si="15"/>
        <v>0</v>
      </c>
      <c r="S45" s="76">
        <f t="shared" si="15"/>
        <v>0</v>
      </c>
      <c r="T45" s="76">
        <f t="shared" si="15"/>
        <v>0</v>
      </c>
      <c r="U45" s="76">
        <f t="shared" si="15"/>
        <v>0</v>
      </c>
      <c r="V45" s="76">
        <f t="shared" si="15"/>
        <v>0</v>
      </c>
      <c r="W45" s="76">
        <f t="shared" si="15"/>
        <v>0</v>
      </c>
      <c r="X45" s="76">
        <f t="shared" si="15"/>
        <v>0</v>
      </c>
      <c r="Y45" s="76">
        <f t="shared" si="15"/>
        <v>0</v>
      </c>
      <c r="AC45" s="28" t="s">
        <v>183</v>
      </c>
      <c r="AD45" s="81">
        <f>H59</f>
        <v>0</v>
      </c>
      <c r="AE45" s="81">
        <f>V59</f>
        <v>0</v>
      </c>
      <c r="AF45"/>
      <c r="AG45"/>
      <c r="AH45"/>
    </row>
    <row r="46" spans="1:34">
      <c r="A46" s="74">
        <v>16</v>
      </c>
      <c r="B46" s="75">
        <f t="shared" ref="B46:Y46" si="16">B19/1000</f>
        <v>0</v>
      </c>
      <c r="C46" s="75">
        <f t="shared" si="16"/>
        <v>0</v>
      </c>
      <c r="D46" s="75">
        <f t="shared" si="16"/>
        <v>0</v>
      </c>
      <c r="E46" s="75">
        <f t="shared" si="16"/>
        <v>0</v>
      </c>
      <c r="F46" s="75">
        <f t="shared" si="16"/>
        <v>0</v>
      </c>
      <c r="G46" s="75">
        <f t="shared" si="16"/>
        <v>0</v>
      </c>
      <c r="H46" s="75">
        <f t="shared" si="16"/>
        <v>0</v>
      </c>
      <c r="I46" s="75">
        <f t="shared" si="16"/>
        <v>0</v>
      </c>
      <c r="J46" s="75">
        <f t="shared" si="16"/>
        <v>0</v>
      </c>
      <c r="K46" s="75">
        <f t="shared" si="16"/>
        <v>0</v>
      </c>
      <c r="L46" s="75">
        <f t="shared" si="16"/>
        <v>0</v>
      </c>
      <c r="M46" s="75">
        <f t="shared" si="16"/>
        <v>0</v>
      </c>
      <c r="N46" s="75">
        <f t="shared" si="16"/>
        <v>0</v>
      </c>
      <c r="O46" s="75">
        <f t="shared" si="16"/>
        <v>0</v>
      </c>
      <c r="P46" s="75">
        <f t="shared" si="16"/>
        <v>0</v>
      </c>
      <c r="Q46" s="75">
        <f t="shared" si="16"/>
        <v>0</v>
      </c>
      <c r="R46" s="75">
        <f t="shared" si="16"/>
        <v>0</v>
      </c>
      <c r="S46" s="75">
        <f t="shared" si="16"/>
        <v>0</v>
      </c>
      <c r="T46" s="75">
        <f t="shared" si="16"/>
        <v>0</v>
      </c>
      <c r="U46" s="75">
        <f t="shared" si="16"/>
        <v>0</v>
      </c>
      <c r="V46" s="75">
        <f t="shared" si="16"/>
        <v>0</v>
      </c>
      <c r="W46" s="75">
        <f t="shared" si="16"/>
        <v>0</v>
      </c>
      <c r="X46" s="75">
        <f t="shared" si="16"/>
        <v>0</v>
      </c>
      <c r="Y46" s="75">
        <f t="shared" si="16"/>
        <v>0</v>
      </c>
      <c r="AC46" s="28" t="s">
        <v>184</v>
      </c>
      <c r="AD46" s="81">
        <f>I59</f>
        <v>0</v>
      </c>
      <c r="AE46" s="81">
        <f>W59</f>
        <v>0</v>
      </c>
    </row>
    <row r="47" spans="1:34" s="77" customFormat="1">
      <c r="A47" s="78">
        <v>17</v>
      </c>
      <c r="B47" s="76">
        <f t="shared" ref="B47:Y47" si="17">B20/1000</f>
        <v>0</v>
      </c>
      <c r="C47" s="76">
        <f t="shared" si="17"/>
        <v>0</v>
      </c>
      <c r="D47" s="76">
        <f t="shared" si="17"/>
        <v>0</v>
      </c>
      <c r="E47" s="76">
        <f t="shared" si="17"/>
        <v>0</v>
      </c>
      <c r="F47" s="76">
        <f t="shared" si="17"/>
        <v>0</v>
      </c>
      <c r="G47" s="76">
        <f t="shared" si="17"/>
        <v>0</v>
      </c>
      <c r="H47" s="76">
        <f t="shared" si="17"/>
        <v>0</v>
      </c>
      <c r="I47" s="76">
        <f t="shared" si="17"/>
        <v>0</v>
      </c>
      <c r="J47" s="76">
        <f t="shared" si="17"/>
        <v>0</v>
      </c>
      <c r="K47" s="76">
        <f t="shared" si="17"/>
        <v>0</v>
      </c>
      <c r="L47" s="76">
        <f t="shared" si="17"/>
        <v>0</v>
      </c>
      <c r="M47" s="76">
        <f t="shared" si="17"/>
        <v>0</v>
      </c>
      <c r="N47" s="76">
        <f t="shared" si="17"/>
        <v>0</v>
      </c>
      <c r="O47" s="76">
        <f t="shared" si="17"/>
        <v>0</v>
      </c>
      <c r="P47" s="76">
        <f t="shared" si="17"/>
        <v>0</v>
      </c>
      <c r="Q47" s="76">
        <f t="shared" si="17"/>
        <v>0</v>
      </c>
      <c r="R47" s="76">
        <f t="shared" si="17"/>
        <v>0</v>
      </c>
      <c r="S47" s="76">
        <f t="shared" si="17"/>
        <v>0</v>
      </c>
      <c r="T47" s="76">
        <f t="shared" si="17"/>
        <v>0</v>
      </c>
      <c r="U47" s="76">
        <f t="shared" si="17"/>
        <v>0</v>
      </c>
      <c r="V47" s="76">
        <f t="shared" si="17"/>
        <v>0</v>
      </c>
      <c r="W47" s="76">
        <f t="shared" si="17"/>
        <v>0</v>
      </c>
      <c r="X47" s="76">
        <f t="shared" si="17"/>
        <v>0</v>
      </c>
      <c r="Y47" s="76">
        <f t="shared" si="17"/>
        <v>0</v>
      </c>
      <c r="AC47" s="28" t="s">
        <v>185</v>
      </c>
      <c r="AD47" s="80">
        <f>J59</f>
        <v>0</v>
      </c>
      <c r="AE47" s="81">
        <f>X59</f>
        <v>0</v>
      </c>
      <c r="AF47"/>
      <c r="AG47"/>
      <c r="AH47"/>
    </row>
    <row r="48" spans="1:34">
      <c r="A48" s="74">
        <v>18</v>
      </c>
      <c r="B48" s="75">
        <f t="shared" ref="B48:Y48" si="18">B21/1000</f>
        <v>0</v>
      </c>
      <c r="C48" s="75">
        <f t="shared" si="18"/>
        <v>0</v>
      </c>
      <c r="D48" s="75">
        <f t="shared" si="18"/>
        <v>0</v>
      </c>
      <c r="E48" s="75">
        <f t="shared" si="18"/>
        <v>0</v>
      </c>
      <c r="F48" s="75">
        <f t="shared" si="18"/>
        <v>0</v>
      </c>
      <c r="G48" s="75">
        <f t="shared" si="18"/>
        <v>0</v>
      </c>
      <c r="H48" s="75">
        <f t="shared" si="18"/>
        <v>0</v>
      </c>
      <c r="I48" s="75">
        <f t="shared" si="18"/>
        <v>0</v>
      </c>
      <c r="J48" s="75">
        <f t="shared" si="18"/>
        <v>0</v>
      </c>
      <c r="K48" s="75">
        <f t="shared" si="18"/>
        <v>0</v>
      </c>
      <c r="L48" s="75">
        <f t="shared" si="18"/>
        <v>0</v>
      </c>
      <c r="M48" s="75">
        <f t="shared" si="18"/>
        <v>0</v>
      </c>
      <c r="N48" s="75">
        <f t="shared" si="18"/>
        <v>0</v>
      </c>
      <c r="O48" s="75">
        <f t="shared" si="18"/>
        <v>0</v>
      </c>
      <c r="P48" s="75">
        <f t="shared" si="18"/>
        <v>0</v>
      </c>
      <c r="Q48" s="75">
        <f t="shared" si="18"/>
        <v>0</v>
      </c>
      <c r="R48" s="75">
        <f t="shared" si="18"/>
        <v>0</v>
      </c>
      <c r="S48" s="75">
        <f t="shared" si="18"/>
        <v>0</v>
      </c>
      <c r="T48" s="75">
        <f t="shared" si="18"/>
        <v>0</v>
      </c>
      <c r="U48" s="75">
        <f t="shared" si="18"/>
        <v>0</v>
      </c>
      <c r="V48" s="75">
        <f t="shared" si="18"/>
        <v>0</v>
      </c>
      <c r="W48" s="75">
        <f t="shared" si="18"/>
        <v>0</v>
      </c>
      <c r="X48" s="75">
        <f t="shared" si="18"/>
        <v>0</v>
      </c>
      <c r="Y48" s="75">
        <f t="shared" si="18"/>
        <v>0</v>
      </c>
      <c r="AC48" s="28" t="s">
        <v>186</v>
      </c>
      <c r="AD48" s="81">
        <f>K59</f>
        <v>0</v>
      </c>
      <c r="AE48" s="81">
        <f>Y59</f>
        <v>0</v>
      </c>
    </row>
    <row r="49" spans="1:34" s="77" customFormat="1">
      <c r="A49" s="78">
        <v>19</v>
      </c>
      <c r="B49" s="76">
        <f t="shared" ref="B49:Y49" si="19">B22/1000</f>
        <v>0</v>
      </c>
      <c r="C49" s="76">
        <f t="shared" si="19"/>
        <v>0</v>
      </c>
      <c r="D49" s="76">
        <f t="shared" si="19"/>
        <v>0</v>
      </c>
      <c r="E49" s="76">
        <f t="shared" si="19"/>
        <v>0</v>
      </c>
      <c r="F49" s="76">
        <f t="shared" si="19"/>
        <v>0</v>
      </c>
      <c r="G49" s="76">
        <f t="shared" si="19"/>
        <v>0</v>
      </c>
      <c r="H49" s="76">
        <f t="shared" si="19"/>
        <v>0</v>
      </c>
      <c r="I49" s="76">
        <f t="shared" si="19"/>
        <v>0</v>
      </c>
      <c r="J49" s="76">
        <f t="shared" si="19"/>
        <v>0</v>
      </c>
      <c r="K49" s="76">
        <f t="shared" si="19"/>
        <v>0</v>
      </c>
      <c r="L49" s="76">
        <f t="shared" si="19"/>
        <v>0</v>
      </c>
      <c r="M49" s="76">
        <f t="shared" si="19"/>
        <v>0</v>
      </c>
      <c r="N49" s="76">
        <f t="shared" si="19"/>
        <v>0</v>
      </c>
      <c r="O49" s="76">
        <f t="shared" si="19"/>
        <v>0</v>
      </c>
      <c r="P49" s="76">
        <f t="shared" si="19"/>
        <v>0</v>
      </c>
      <c r="Q49" s="76">
        <f t="shared" si="19"/>
        <v>0</v>
      </c>
      <c r="R49" s="76">
        <f t="shared" si="19"/>
        <v>0</v>
      </c>
      <c r="S49" s="76">
        <f t="shared" si="19"/>
        <v>0</v>
      </c>
      <c r="T49" s="76">
        <f t="shared" si="19"/>
        <v>0</v>
      </c>
      <c r="U49" s="76">
        <f t="shared" si="19"/>
        <v>0</v>
      </c>
      <c r="V49" s="76">
        <f t="shared" si="19"/>
        <v>0</v>
      </c>
      <c r="W49" s="76">
        <f t="shared" si="19"/>
        <v>0</v>
      </c>
      <c r="X49" s="76">
        <f t="shared" si="19"/>
        <v>0</v>
      </c>
      <c r="Y49" s="76">
        <f t="shared" si="19"/>
        <v>0</v>
      </c>
      <c r="AC49" s="28" t="s">
        <v>187</v>
      </c>
      <c r="AD49" s="81">
        <f>L59</f>
        <v>0</v>
      </c>
      <c r="AE49" s="81">
        <f>Z59</f>
        <v>0</v>
      </c>
      <c r="AF49"/>
      <c r="AG49"/>
      <c r="AH49"/>
    </row>
    <row r="50" spans="1:34">
      <c r="A50" s="74">
        <v>20</v>
      </c>
      <c r="B50" s="75">
        <f t="shared" ref="B50:Y50" si="20">B23/1000</f>
        <v>0</v>
      </c>
      <c r="C50" s="75">
        <f t="shared" si="20"/>
        <v>0</v>
      </c>
      <c r="D50" s="75">
        <f t="shared" si="20"/>
        <v>0</v>
      </c>
      <c r="E50" s="75">
        <f t="shared" si="20"/>
        <v>0</v>
      </c>
      <c r="F50" s="75">
        <f t="shared" si="20"/>
        <v>0</v>
      </c>
      <c r="G50" s="75">
        <f t="shared" si="20"/>
        <v>0</v>
      </c>
      <c r="H50" s="75">
        <f t="shared" si="20"/>
        <v>0</v>
      </c>
      <c r="I50" s="75">
        <f t="shared" si="20"/>
        <v>0</v>
      </c>
      <c r="J50" s="75">
        <f t="shared" si="20"/>
        <v>0</v>
      </c>
      <c r="K50" s="75">
        <f t="shared" si="20"/>
        <v>0</v>
      </c>
      <c r="L50" s="75">
        <f t="shared" si="20"/>
        <v>0</v>
      </c>
      <c r="M50" s="75">
        <f t="shared" si="20"/>
        <v>0</v>
      </c>
      <c r="N50" s="75">
        <f t="shared" si="20"/>
        <v>0</v>
      </c>
      <c r="O50" s="75">
        <f t="shared" si="20"/>
        <v>0</v>
      </c>
      <c r="P50" s="75">
        <f t="shared" si="20"/>
        <v>0</v>
      </c>
      <c r="Q50" s="75">
        <f t="shared" si="20"/>
        <v>0</v>
      </c>
      <c r="R50" s="75">
        <f t="shared" si="20"/>
        <v>0</v>
      </c>
      <c r="S50" s="75">
        <f t="shared" si="20"/>
        <v>0</v>
      </c>
      <c r="T50" s="75">
        <f t="shared" si="20"/>
        <v>0</v>
      </c>
      <c r="U50" s="75">
        <f t="shared" si="20"/>
        <v>0</v>
      </c>
      <c r="V50" s="75">
        <f t="shared" si="20"/>
        <v>0</v>
      </c>
      <c r="W50" s="75">
        <f t="shared" si="20"/>
        <v>0</v>
      </c>
      <c r="X50" s="75">
        <f t="shared" si="20"/>
        <v>0</v>
      </c>
      <c r="Y50" s="75">
        <f t="shared" si="20"/>
        <v>0</v>
      </c>
      <c r="AC50" s="28" t="s">
        <v>188</v>
      </c>
      <c r="AD50" s="81">
        <f>M59</f>
        <v>0</v>
      </c>
      <c r="AE50" s="81">
        <f>AA59</f>
        <v>0</v>
      </c>
      <c r="AF50" s="79"/>
      <c r="AG50" s="79"/>
    </row>
    <row r="51" spans="1:34" s="77" customFormat="1">
      <c r="A51" s="78">
        <v>21</v>
      </c>
      <c r="B51" s="76">
        <f t="shared" ref="B51:Y51" si="21">B24/1000</f>
        <v>0</v>
      </c>
      <c r="C51" s="76">
        <f t="shared" si="21"/>
        <v>0</v>
      </c>
      <c r="D51" s="76">
        <f t="shared" si="21"/>
        <v>0</v>
      </c>
      <c r="E51" s="76">
        <f t="shared" si="21"/>
        <v>0</v>
      </c>
      <c r="F51" s="76">
        <f t="shared" si="21"/>
        <v>0</v>
      </c>
      <c r="G51" s="76">
        <f t="shared" si="21"/>
        <v>0</v>
      </c>
      <c r="H51" s="76">
        <f t="shared" si="21"/>
        <v>0</v>
      </c>
      <c r="I51" s="76">
        <f t="shared" si="21"/>
        <v>0</v>
      </c>
      <c r="J51" s="76">
        <f t="shared" si="21"/>
        <v>0</v>
      </c>
      <c r="K51" s="76">
        <f t="shared" si="21"/>
        <v>0</v>
      </c>
      <c r="L51" s="76">
        <f t="shared" si="21"/>
        <v>0</v>
      </c>
      <c r="M51" s="76">
        <f t="shared" si="21"/>
        <v>0</v>
      </c>
      <c r="N51" s="76">
        <f t="shared" si="21"/>
        <v>0</v>
      </c>
      <c r="O51" s="76">
        <f t="shared" si="21"/>
        <v>0</v>
      </c>
      <c r="P51" s="76">
        <f t="shared" si="21"/>
        <v>0</v>
      </c>
      <c r="Q51" s="76">
        <f t="shared" si="21"/>
        <v>0</v>
      </c>
      <c r="R51" s="76">
        <f t="shared" si="21"/>
        <v>0</v>
      </c>
      <c r="S51" s="76">
        <f t="shared" si="21"/>
        <v>0</v>
      </c>
      <c r="T51" s="76">
        <f t="shared" si="21"/>
        <v>0</v>
      </c>
      <c r="U51" s="76">
        <f t="shared" si="21"/>
        <v>0</v>
      </c>
      <c r="V51" s="76">
        <f t="shared" si="21"/>
        <v>0</v>
      </c>
      <c r="W51" s="76">
        <f t="shared" si="21"/>
        <v>0</v>
      </c>
      <c r="X51" s="76">
        <f t="shared" si="21"/>
        <v>0</v>
      </c>
      <c r="Y51" s="76">
        <f t="shared" si="21"/>
        <v>0</v>
      </c>
      <c r="Z51"/>
      <c r="AA51"/>
      <c r="AB51"/>
      <c r="AC51" s="65" t="s">
        <v>189</v>
      </c>
      <c r="AD51" s="66">
        <f>B60</f>
        <v>0</v>
      </c>
      <c r="AE51" s="66">
        <f>P60</f>
        <v>0</v>
      </c>
      <c r="AF51"/>
      <c r="AG51"/>
      <c r="AH51"/>
    </row>
    <row r="52" spans="1:34">
      <c r="A52" s="74">
        <v>22</v>
      </c>
      <c r="B52" s="75">
        <f t="shared" ref="B52:Y52" si="22">B25/1000</f>
        <v>0</v>
      </c>
      <c r="C52" s="75">
        <f t="shared" si="22"/>
        <v>0</v>
      </c>
      <c r="D52" s="75">
        <f t="shared" si="22"/>
        <v>0</v>
      </c>
      <c r="E52" s="75">
        <f t="shared" si="22"/>
        <v>0</v>
      </c>
      <c r="F52" s="75">
        <f t="shared" si="22"/>
        <v>0</v>
      </c>
      <c r="G52" s="75">
        <f t="shared" si="22"/>
        <v>0</v>
      </c>
      <c r="H52" s="75">
        <f t="shared" si="22"/>
        <v>0</v>
      </c>
      <c r="I52" s="75">
        <f t="shared" si="22"/>
        <v>0</v>
      </c>
      <c r="J52" s="75">
        <f t="shared" si="22"/>
        <v>0</v>
      </c>
      <c r="K52" s="75">
        <f t="shared" si="22"/>
        <v>0</v>
      </c>
      <c r="L52" s="75">
        <f t="shared" si="22"/>
        <v>0</v>
      </c>
      <c r="M52" s="75">
        <f t="shared" si="22"/>
        <v>0</v>
      </c>
      <c r="N52" s="75">
        <f t="shared" si="22"/>
        <v>0</v>
      </c>
      <c r="O52" s="75">
        <f t="shared" si="22"/>
        <v>0</v>
      </c>
      <c r="P52" s="75">
        <f t="shared" si="22"/>
        <v>0</v>
      </c>
      <c r="Q52" s="75">
        <f t="shared" si="22"/>
        <v>0</v>
      </c>
      <c r="R52" s="75">
        <f t="shared" si="22"/>
        <v>0</v>
      </c>
      <c r="S52" s="75">
        <f t="shared" si="22"/>
        <v>0</v>
      </c>
      <c r="T52" s="75">
        <f t="shared" si="22"/>
        <v>0</v>
      </c>
      <c r="U52" s="75">
        <f t="shared" si="22"/>
        <v>0</v>
      </c>
      <c r="V52" s="75">
        <f t="shared" si="22"/>
        <v>0</v>
      </c>
      <c r="W52" s="75">
        <f t="shared" si="22"/>
        <v>0</v>
      </c>
      <c r="X52" s="75">
        <f t="shared" si="22"/>
        <v>0</v>
      </c>
      <c r="Y52" s="75">
        <f t="shared" si="22"/>
        <v>0</v>
      </c>
      <c r="AC52" s="65" t="s">
        <v>190</v>
      </c>
      <c r="AD52" s="66">
        <f>C60</f>
        <v>0</v>
      </c>
      <c r="AE52" s="66">
        <f>Q60</f>
        <v>0</v>
      </c>
    </row>
    <row r="53" spans="1:34" s="77" customFormat="1">
      <c r="A53" s="78">
        <v>23</v>
      </c>
      <c r="B53" s="76">
        <f t="shared" ref="B53:Y53" si="23">B26/1000</f>
        <v>0</v>
      </c>
      <c r="C53" s="76">
        <f t="shared" si="23"/>
        <v>0</v>
      </c>
      <c r="D53" s="76">
        <f t="shared" si="23"/>
        <v>0</v>
      </c>
      <c r="E53" s="76">
        <f t="shared" si="23"/>
        <v>0</v>
      </c>
      <c r="F53" s="76">
        <f t="shared" si="23"/>
        <v>0</v>
      </c>
      <c r="G53" s="76">
        <f t="shared" si="23"/>
        <v>0</v>
      </c>
      <c r="H53" s="76">
        <f t="shared" si="23"/>
        <v>0</v>
      </c>
      <c r="I53" s="76">
        <f t="shared" si="23"/>
        <v>0</v>
      </c>
      <c r="J53" s="76">
        <f t="shared" si="23"/>
        <v>0</v>
      </c>
      <c r="K53" s="76">
        <f t="shared" si="23"/>
        <v>0</v>
      </c>
      <c r="L53" s="76">
        <f t="shared" si="23"/>
        <v>0</v>
      </c>
      <c r="M53" s="76">
        <f t="shared" si="23"/>
        <v>0</v>
      </c>
      <c r="N53" s="76">
        <f t="shared" si="23"/>
        <v>0</v>
      </c>
      <c r="O53" s="76">
        <f t="shared" si="23"/>
        <v>0</v>
      </c>
      <c r="P53" s="76">
        <f t="shared" si="23"/>
        <v>0</v>
      </c>
      <c r="Q53" s="76">
        <f t="shared" si="23"/>
        <v>0</v>
      </c>
      <c r="R53" s="76">
        <f t="shared" si="23"/>
        <v>0</v>
      </c>
      <c r="S53" s="76">
        <f t="shared" si="23"/>
        <v>0</v>
      </c>
      <c r="T53" s="76">
        <f t="shared" si="23"/>
        <v>0</v>
      </c>
      <c r="U53" s="76">
        <f t="shared" si="23"/>
        <v>0</v>
      </c>
      <c r="V53" s="76">
        <f t="shared" si="23"/>
        <v>0</v>
      </c>
      <c r="W53" s="76">
        <f t="shared" si="23"/>
        <v>0</v>
      </c>
      <c r="X53" s="76">
        <f t="shared" si="23"/>
        <v>0</v>
      </c>
      <c r="Y53" s="76">
        <f t="shared" si="23"/>
        <v>0</v>
      </c>
      <c r="Z53" s="82"/>
      <c r="AA53" s="82"/>
      <c r="AB53"/>
      <c r="AC53" s="65" t="s">
        <v>191</v>
      </c>
      <c r="AD53" s="66">
        <f>D60</f>
        <v>0</v>
      </c>
      <c r="AE53" s="66">
        <f>R60</f>
        <v>0</v>
      </c>
      <c r="AF53"/>
      <c r="AG53"/>
      <c r="AH53"/>
    </row>
    <row r="54" spans="1:34">
      <c r="B54" s="83"/>
      <c r="AC54" s="65" t="s">
        <v>192</v>
      </c>
      <c r="AD54" s="66">
        <f>E60</f>
        <v>0</v>
      </c>
      <c r="AE54" s="66">
        <f>S60</f>
        <v>0</v>
      </c>
    </row>
    <row r="55" spans="1:34">
      <c r="A55" s="84" t="s">
        <v>134</v>
      </c>
      <c r="B55" s="85" t="s">
        <v>122</v>
      </c>
      <c r="C55" s="85" t="s">
        <v>123</v>
      </c>
      <c r="D55" s="85" t="s">
        <v>124</v>
      </c>
      <c r="E55" s="85" t="s">
        <v>125</v>
      </c>
      <c r="F55" s="85" t="s">
        <v>126</v>
      </c>
      <c r="G55" s="85" t="s">
        <v>127</v>
      </c>
      <c r="H55" s="85" t="s">
        <v>128</v>
      </c>
      <c r="I55" s="85" t="s">
        <v>129</v>
      </c>
      <c r="J55" s="85" t="s">
        <v>130</v>
      </c>
      <c r="K55" s="85" t="s">
        <v>131</v>
      </c>
      <c r="L55" s="85" t="s">
        <v>132</v>
      </c>
      <c r="M55" s="85" t="s">
        <v>133</v>
      </c>
      <c r="O55" s="86" t="s">
        <v>135</v>
      </c>
      <c r="P55" s="87" t="s">
        <v>122</v>
      </c>
      <c r="Q55" s="87" t="s">
        <v>123</v>
      </c>
      <c r="R55" s="87" t="s">
        <v>124</v>
      </c>
      <c r="S55" s="87" t="s">
        <v>125</v>
      </c>
      <c r="T55" s="87" t="s">
        <v>126</v>
      </c>
      <c r="U55" s="87" t="s">
        <v>127</v>
      </c>
      <c r="V55" s="87" t="s">
        <v>128</v>
      </c>
      <c r="W55" s="87" t="s">
        <v>129</v>
      </c>
      <c r="X55" s="87" t="s">
        <v>130</v>
      </c>
      <c r="Y55" s="87" t="s">
        <v>131</v>
      </c>
      <c r="Z55" s="87" t="s">
        <v>132</v>
      </c>
      <c r="AA55" s="87" t="s">
        <v>133</v>
      </c>
      <c r="AC55" s="65" t="s">
        <v>193</v>
      </c>
      <c r="AD55" s="66">
        <f>F60</f>
        <v>0</v>
      </c>
      <c r="AE55" s="66">
        <f>T60</f>
        <v>0</v>
      </c>
    </row>
    <row r="56" spans="1:34">
      <c r="A56" s="74">
        <v>0</v>
      </c>
      <c r="B56" s="75">
        <f>B30</f>
        <v>0</v>
      </c>
      <c r="C56" s="75">
        <f>D30</f>
        <v>0</v>
      </c>
      <c r="D56" s="75">
        <f>F30</f>
        <v>0</v>
      </c>
      <c r="E56" s="75">
        <f>H30</f>
        <v>0</v>
      </c>
      <c r="F56" s="75">
        <f>J30</f>
        <v>0</v>
      </c>
      <c r="G56" s="75">
        <f>L30</f>
        <v>0</v>
      </c>
      <c r="H56" s="75">
        <f>N30</f>
        <v>0</v>
      </c>
      <c r="I56" s="75">
        <f>P30</f>
        <v>0</v>
      </c>
      <c r="J56" s="75">
        <f>R30</f>
        <v>0</v>
      </c>
      <c r="K56" s="75">
        <f>T30</f>
        <v>0</v>
      </c>
      <c r="L56" s="75">
        <f>V30</f>
        <v>0</v>
      </c>
      <c r="M56" s="75">
        <f>X30</f>
        <v>0</v>
      </c>
      <c r="N56" s="79"/>
      <c r="O56" s="74">
        <v>0</v>
      </c>
      <c r="P56" s="75">
        <f>C30</f>
        <v>0</v>
      </c>
      <c r="Q56" s="75">
        <f>E30</f>
        <v>0</v>
      </c>
      <c r="R56" s="75">
        <f>G30</f>
        <v>0</v>
      </c>
      <c r="S56" s="75">
        <f>I30</f>
        <v>0</v>
      </c>
      <c r="T56" s="75">
        <f>K30</f>
        <v>0</v>
      </c>
      <c r="U56" s="75">
        <f>M30</f>
        <v>0</v>
      </c>
      <c r="V56" s="75">
        <f>O30</f>
        <v>0</v>
      </c>
      <c r="W56" s="75">
        <f>Q30</f>
        <v>0</v>
      </c>
      <c r="X56" s="75">
        <f>S30</f>
        <v>0</v>
      </c>
      <c r="Y56" s="75">
        <f>U30</f>
        <v>0</v>
      </c>
      <c r="Z56" s="75">
        <f>W30</f>
        <v>0</v>
      </c>
      <c r="AA56" s="75">
        <f>Y30</f>
        <v>0</v>
      </c>
      <c r="AB56" s="79"/>
      <c r="AC56" s="65" t="s">
        <v>194</v>
      </c>
      <c r="AD56" s="66">
        <f>G60</f>
        <v>0</v>
      </c>
      <c r="AE56" s="66">
        <f>U60</f>
        <v>0</v>
      </c>
    </row>
    <row r="57" spans="1:34">
      <c r="A57" s="74">
        <v>1</v>
      </c>
      <c r="B57" s="75">
        <f t="shared" ref="B57:B79" si="24">B31</f>
        <v>0</v>
      </c>
      <c r="C57" s="75">
        <f t="shared" ref="C57:C79" si="25">D31</f>
        <v>0</v>
      </c>
      <c r="D57" s="75">
        <f t="shared" ref="D57:D79" si="26">F31</f>
        <v>0</v>
      </c>
      <c r="E57" s="75">
        <f t="shared" ref="E57:E79" si="27">H31</f>
        <v>0</v>
      </c>
      <c r="F57" s="75">
        <f t="shared" ref="F57:F79" si="28">J31</f>
        <v>0</v>
      </c>
      <c r="G57" s="75">
        <f t="shared" ref="G57:G79" si="29">L31</f>
        <v>0</v>
      </c>
      <c r="H57" s="75">
        <f t="shared" ref="H57:H79" si="30">N31</f>
        <v>0</v>
      </c>
      <c r="I57" s="75">
        <f t="shared" ref="I57:I79" si="31">P31</f>
        <v>0</v>
      </c>
      <c r="J57" s="75">
        <f t="shared" ref="J57:J79" si="32">R31</f>
        <v>0</v>
      </c>
      <c r="K57" s="75">
        <f t="shared" ref="K57:K79" si="33">T31</f>
        <v>0</v>
      </c>
      <c r="L57" s="75">
        <f t="shared" ref="L57:L79" si="34">V31</f>
        <v>0</v>
      </c>
      <c r="M57" s="75">
        <f t="shared" ref="M57:M79" si="35">X31</f>
        <v>0</v>
      </c>
      <c r="N57" s="79"/>
      <c r="O57" s="74">
        <v>1</v>
      </c>
      <c r="P57" s="75">
        <f t="shared" ref="P57:P79" si="36">C31</f>
        <v>0</v>
      </c>
      <c r="Q57" s="75">
        <f t="shared" ref="Q57:Q79" si="37">E31</f>
        <v>0</v>
      </c>
      <c r="R57" s="75">
        <f t="shared" ref="R57:R79" si="38">G31</f>
        <v>0</v>
      </c>
      <c r="S57" s="75">
        <f t="shared" ref="S57:S79" si="39">I31</f>
        <v>0</v>
      </c>
      <c r="T57" s="75">
        <f t="shared" ref="T57:T79" si="40">K31</f>
        <v>0</v>
      </c>
      <c r="U57" s="75">
        <f t="shared" ref="U57:U79" si="41">M31</f>
        <v>0</v>
      </c>
      <c r="V57" s="75">
        <f t="shared" ref="V57:V79" si="42">O31</f>
        <v>0</v>
      </c>
      <c r="W57" s="75">
        <f t="shared" ref="W57:W79" si="43">Q31</f>
        <v>0</v>
      </c>
      <c r="X57" s="75">
        <f t="shared" ref="X57:X79" si="44">S31</f>
        <v>0</v>
      </c>
      <c r="Y57" s="75">
        <f t="shared" ref="Y57:Y79" si="45">U31</f>
        <v>0</v>
      </c>
      <c r="Z57" s="75">
        <f t="shared" ref="Z57:Z79" si="46">W31</f>
        <v>0</v>
      </c>
      <c r="AA57" s="75">
        <f t="shared" ref="AA57:AA79" si="47">Y31</f>
        <v>0</v>
      </c>
      <c r="AB57" s="79"/>
      <c r="AC57" s="65" t="s">
        <v>195</v>
      </c>
      <c r="AD57" s="66">
        <f>H60</f>
        <v>0</v>
      </c>
      <c r="AE57" s="66">
        <f>V60</f>
        <v>0</v>
      </c>
    </row>
    <row r="58" spans="1:34">
      <c r="A58" s="74">
        <v>2</v>
      </c>
      <c r="B58" s="75">
        <f t="shared" si="24"/>
        <v>0</v>
      </c>
      <c r="C58" s="75">
        <f t="shared" si="25"/>
        <v>0</v>
      </c>
      <c r="D58" s="75">
        <f t="shared" si="26"/>
        <v>0</v>
      </c>
      <c r="E58" s="75">
        <f t="shared" si="27"/>
        <v>0</v>
      </c>
      <c r="F58" s="75">
        <f t="shared" si="28"/>
        <v>0</v>
      </c>
      <c r="G58" s="75">
        <f t="shared" si="29"/>
        <v>0</v>
      </c>
      <c r="H58" s="75">
        <f t="shared" si="30"/>
        <v>0</v>
      </c>
      <c r="I58" s="75">
        <f t="shared" si="31"/>
        <v>0</v>
      </c>
      <c r="J58" s="75">
        <f t="shared" si="32"/>
        <v>0</v>
      </c>
      <c r="K58" s="75">
        <f t="shared" si="33"/>
        <v>0</v>
      </c>
      <c r="L58" s="75">
        <f t="shared" si="34"/>
        <v>0</v>
      </c>
      <c r="M58" s="75">
        <f t="shared" si="35"/>
        <v>0</v>
      </c>
      <c r="N58" s="79"/>
      <c r="O58" s="74">
        <v>2</v>
      </c>
      <c r="P58" s="75">
        <f t="shared" si="36"/>
        <v>0</v>
      </c>
      <c r="Q58" s="75">
        <f t="shared" si="37"/>
        <v>0</v>
      </c>
      <c r="R58" s="75">
        <f t="shared" si="38"/>
        <v>0</v>
      </c>
      <c r="S58" s="75">
        <f t="shared" si="39"/>
        <v>0</v>
      </c>
      <c r="T58" s="75">
        <f t="shared" si="40"/>
        <v>0</v>
      </c>
      <c r="U58" s="75">
        <f t="shared" si="41"/>
        <v>0</v>
      </c>
      <c r="V58" s="75">
        <f t="shared" si="42"/>
        <v>0</v>
      </c>
      <c r="W58" s="75">
        <f t="shared" si="43"/>
        <v>0</v>
      </c>
      <c r="X58" s="75">
        <f t="shared" si="44"/>
        <v>0</v>
      </c>
      <c r="Y58" s="75">
        <f t="shared" si="45"/>
        <v>0</v>
      </c>
      <c r="Z58" s="75">
        <f t="shared" si="46"/>
        <v>0</v>
      </c>
      <c r="AA58" s="75">
        <f t="shared" si="47"/>
        <v>0</v>
      </c>
      <c r="AB58" s="79"/>
      <c r="AC58" s="65" t="s">
        <v>196</v>
      </c>
      <c r="AD58" s="72">
        <f>I60</f>
        <v>0</v>
      </c>
      <c r="AE58" s="66">
        <f>W60</f>
        <v>0</v>
      </c>
    </row>
    <row r="59" spans="1:34">
      <c r="A59" s="74">
        <v>3</v>
      </c>
      <c r="B59" s="75">
        <f t="shared" si="24"/>
        <v>0</v>
      </c>
      <c r="C59" s="75">
        <f t="shared" si="25"/>
        <v>0</v>
      </c>
      <c r="D59" s="75">
        <f t="shared" si="26"/>
        <v>0</v>
      </c>
      <c r="E59" s="75">
        <f t="shared" si="27"/>
        <v>0</v>
      </c>
      <c r="F59" s="75">
        <f t="shared" si="28"/>
        <v>0</v>
      </c>
      <c r="G59" s="75">
        <f t="shared" si="29"/>
        <v>0</v>
      </c>
      <c r="H59" s="75">
        <f t="shared" si="30"/>
        <v>0</v>
      </c>
      <c r="I59" s="75">
        <f t="shared" si="31"/>
        <v>0</v>
      </c>
      <c r="J59" s="75">
        <f t="shared" si="32"/>
        <v>0</v>
      </c>
      <c r="K59" s="75">
        <f t="shared" si="33"/>
        <v>0</v>
      </c>
      <c r="L59" s="75">
        <f t="shared" si="34"/>
        <v>0</v>
      </c>
      <c r="M59" s="75">
        <f t="shared" si="35"/>
        <v>0</v>
      </c>
      <c r="N59" s="79"/>
      <c r="O59" s="74">
        <v>3</v>
      </c>
      <c r="P59" s="75">
        <f t="shared" si="36"/>
        <v>0</v>
      </c>
      <c r="Q59" s="75">
        <f t="shared" si="37"/>
        <v>0</v>
      </c>
      <c r="R59" s="75">
        <f t="shared" si="38"/>
        <v>0</v>
      </c>
      <c r="S59" s="75">
        <f t="shared" si="39"/>
        <v>0</v>
      </c>
      <c r="T59" s="75">
        <f t="shared" si="40"/>
        <v>0</v>
      </c>
      <c r="U59" s="75">
        <f t="shared" si="41"/>
        <v>0</v>
      </c>
      <c r="V59" s="75">
        <f t="shared" si="42"/>
        <v>0</v>
      </c>
      <c r="W59" s="75">
        <f t="shared" si="43"/>
        <v>0</v>
      </c>
      <c r="X59" s="75">
        <f t="shared" si="44"/>
        <v>0</v>
      </c>
      <c r="Y59" s="75">
        <f t="shared" si="45"/>
        <v>0</v>
      </c>
      <c r="Z59" s="75">
        <f t="shared" si="46"/>
        <v>0</v>
      </c>
      <c r="AA59" s="75">
        <f t="shared" si="47"/>
        <v>0</v>
      </c>
      <c r="AB59" s="79"/>
      <c r="AC59" s="65" t="s">
        <v>197</v>
      </c>
      <c r="AD59" s="66">
        <f>J60</f>
        <v>0</v>
      </c>
      <c r="AE59" s="66">
        <f>X60</f>
        <v>0</v>
      </c>
    </row>
    <row r="60" spans="1:34">
      <c r="A60" s="74">
        <v>4</v>
      </c>
      <c r="B60" s="75">
        <f t="shared" si="24"/>
        <v>0</v>
      </c>
      <c r="C60" s="75">
        <f t="shared" si="25"/>
        <v>0</v>
      </c>
      <c r="D60" s="75">
        <f t="shared" si="26"/>
        <v>0</v>
      </c>
      <c r="E60" s="75">
        <f t="shared" si="27"/>
        <v>0</v>
      </c>
      <c r="F60" s="75">
        <f t="shared" si="28"/>
        <v>0</v>
      </c>
      <c r="G60" s="75">
        <f t="shared" si="29"/>
        <v>0</v>
      </c>
      <c r="H60" s="75">
        <f t="shared" si="30"/>
        <v>0</v>
      </c>
      <c r="I60" s="75">
        <f t="shared" si="31"/>
        <v>0</v>
      </c>
      <c r="J60" s="75">
        <f t="shared" si="32"/>
        <v>0</v>
      </c>
      <c r="K60" s="75">
        <f t="shared" si="33"/>
        <v>0</v>
      </c>
      <c r="L60" s="75">
        <f t="shared" si="34"/>
        <v>0</v>
      </c>
      <c r="M60" s="75">
        <f t="shared" si="35"/>
        <v>0</v>
      </c>
      <c r="N60" s="79"/>
      <c r="O60" s="74">
        <v>4</v>
      </c>
      <c r="P60" s="75">
        <f t="shared" si="36"/>
        <v>0</v>
      </c>
      <c r="Q60" s="75">
        <f t="shared" si="37"/>
        <v>0</v>
      </c>
      <c r="R60" s="75">
        <f t="shared" si="38"/>
        <v>0</v>
      </c>
      <c r="S60" s="75">
        <f t="shared" si="39"/>
        <v>0</v>
      </c>
      <c r="T60" s="75">
        <f t="shared" si="40"/>
        <v>0</v>
      </c>
      <c r="U60" s="75">
        <f t="shared" si="41"/>
        <v>0</v>
      </c>
      <c r="V60" s="75">
        <f t="shared" si="42"/>
        <v>0</v>
      </c>
      <c r="W60" s="75">
        <f t="shared" si="43"/>
        <v>0</v>
      </c>
      <c r="X60" s="75">
        <f t="shared" si="44"/>
        <v>0</v>
      </c>
      <c r="Y60" s="75">
        <f t="shared" si="45"/>
        <v>0</v>
      </c>
      <c r="Z60" s="75">
        <f t="shared" si="46"/>
        <v>0</v>
      </c>
      <c r="AA60" s="75">
        <f t="shared" si="47"/>
        <v>0</v>
      </c>
      <c r="AB60" s="79"/>
      <c r="AC60" s="65" t="s">
        <v>198</v>
      </c>
      <c r="AD60" s="66">
        <f>K60</f>
        <v>0</v>
      </c>
      <c r="AE60" s="66">
        <f>Y60</f>
        <v>0</v>
      </c>
    </row>
    <row r="61" spans="1:34">
      <c r="A61" s="74">
        <v>5</v>
      </c>
      <c r="B61" s="75">
        <f t="shared" si="24"/>
        <v>0</v>
      </c>
      <c r="C61" s="75">
        <f t="shared" si="25"/>
        <v>0</v>
      </c>
      <c r="D61" s="75">
        <f t="shared" si="26"/>
        <v>0</v>
      </c>
      <c r="E61" s="75">
        <f t="shared" si="27"/>
        <v>0</v>
      </c>
      <c r="F61" s="75">
        <f t="shared" si="28"/>
        <v>0</v>
      </c>
      <c r="G61" s="75">
        <f t="shared" si="29"/>
        <v>0</v>
      </c>
      <c r="H61" s="75">
        <f t="shared" si="30"/>
        <v>0</v>
      </c>
      <c r="I61" s="75">
        <f t="shared" si="31"/>
        <v>0</v>
      </c>
      <c r="J61" s="75">
        <f t="shared" si="32"/>
        <v>0</v>
      </c>
      <c r="K61" s="75">
        <f t="shared" si="33"/>
        <v>0</v>
      </c>
      <c r="L61" s="75">
        <f t="shared" si="34"/>
        <v>0</v>
      </c>
      <c r="M61" s="75">
        <f t="shared" si="35"/>
        <v>0</v>
      </c>
      <c r="N61" s="79"/>
      <c r="O61" s="74">
        <v>5</v>
      </c>
      <c r="P61" s="75">
        <f t="shared" si="36"/>
        <v>0</v>
      </c>
      <c r="Q61" s="75">
        <f t="shared" si="37"/>
        <v>0</v>
      </c>
      <c r="R61" s="75">
        <f t="shared" si="38"/>
        <v>0</v>
      </c>
      <c r="S61" s="75">
        <f t="shared" si="39"/>
        <v>0</v>
      </c>
      <c r="T61" s="75">
        <f t="shared" si="40"/>
        <v>0</v>
      </c>
      <c r="U61" s="75">
        <f t="shared" si="41"/>
        <v>0</v>
      </c>
      <c r="V61" s="75">
        <f t="shared" si="42"/>
        <v>0</v>
      </c>
      <c r="W61" s="75">
        <f t="shared" si="43"/>
        <v>0</v>
      </c>
      <c r="X61" s="75">
        <f t="shared" si="44"/>
        <v>0</v>
      </c>
      <c r="Y61" s="75">
        <f t="shared" si="45"/>
        <v>0</v>
      </c>
      <c r="Z61" s="75">
        <f t="shared" si="46"/>
        <v>0</v>
      </c>
      <c r="AA61" s="75">
        <f t="shared" si="47"/>
        <v>0</v>
      </c>
      <c r="AB61" s="79"/>
      <c r="AC61" s="65" t="s">
        <v>199</v>
      </c>
      <c r="AD61" s="66">
        <f>L60</f>
        <v>0</v>
      </c>
      <c r="AE61" s="66">
        <f>Z60</f>
        <v>0</v>
      </c>
    </row>
    <row r="62" spans="1:34">
      <c r="A62" s="74">
        <v>6</v>
      </c>
      <c r="B62" s="75">
        <f t="shared" si="24"/>
        <v>0</v>
      </c>
      <c r="C62" s="75">
        <f t="shared" si="25"/>
        <v>0</v>
      </c>
      <c r="D62" s="75">
        <f t="shared" si="26"/>
        <v>0</v>
      </c>
      <c r="E62" s="75">
        <f t="shared" si="27"/>
        <v>0</v>
      </c>
      <c r="F62" s="75">
        <f t="shared" si="28"/>
        <v>0</v>
      </c>
      <c r="G62" s="75">
        <f t="shared" si="29"/>
        <v>0</v>
      </c>
      <c r="H62" s="75">
        <f t="shared" si="30"/>
        <v>0</v>
      </c>
      <c r="I62" s="75">
        <f t="shared" si="31"/>
        <v>0</v>
      </c>
      <c r="J62" s="75">
        <f t="shared" si="32"/>
        <v>0</v>
      </c>
      <c r="K62" s="75">
        <f t="shared" si="33"/>
        <v>0</v>
      </c>
      <c r="L62" s="75">
        <f t="shared" si="34"/>
        <v>0</v>
      </c>
      <c r="M62" s="75">
        <f t="shared" si="35"/>
        <v>0</v>
      </c>
      <c r="N62" s="79"/>
      <c r="O62" s="74">
        <v>6</v>
      </c>
      <c r="P62" s="75">
        <f t="shared" si="36"/>
        <v>0</v>
      </c>
      <c r="Q62" s="75">
        <f t="shared" si="37"/>
        <v>0</v>
      </c>
      <c r="R62" s="75">
        <f t="shared" si="38"/>
        <v>0</v>
      </c>
      <c r="S62" s="75">
        <f t="shared" si="39"/>
        <v>0</v>
      </c>
      <c r="T62" s="75">
        <f t="shared" si="40"/>
        <v>0</v>
      </c>
      <c r="U62" s="75">
        <f t="shared" si="41"/>
        <v>0</v>
      </c>
      <c r="V62" s="75">
        <f t="shared" si="42"/>
        <v>0</v>
      </c>
      <c r="W62" s="75">
        <f t="shared" si="43"/>
        <v>0</v>
      </c>
      <c r="X62" s="75">
        <f t="shared" si="44"/>
        <v>0</v>
      </c>
      <c r="Y62" s="75">
        <f t="shared" si="45"/>
        <v>0</v>
      </c>
      <c r="Z62" s="75">
        <f t="shared" si="46"/>
        <v>0</v>
      </c>
      <c r="AA62" s="75">
        <f t="shared" si="47"/>
        <v>0</v>
      </c>
      <c r="AB62" s="79"/>
      <c r="AC62" s="65" t="s">
        <v>200</v>
      </c>
      <c r="AD62" s="66">
        <f>M60</f>
        <v>0</v>
      </c>
      <c r="AE62" s="66">
        <f>AA60</f>
        <v>0</v>
      </c>
      <c r="AF62" s="79"/>
      <c r="AG62" s="79"/>
    </row>
    <row r="63" spans="1:34">
      <c r="A63" s="74">
        <v>7</v>
      </c>
      <c r="B63" s="75">
        <f t="shared" si="24"/>
        <v>0</v>
      </c>
      <c r="C63" s="75">
        <f t="shared" si="25"/>
        <v>0</v>
      </c>
      <c r="D63" s="75">
        <f t="shared" si="26"/>
        <v>0</v>
      </c>
      <c r="E63" s="75">
        <f t="shared" si="27"/>
        <v>0</v>
      </c>
      <c r="F63" s="75">
        <f t="shared" si="28"/>
        <v>0</v>
      </c>
      <c r="G63" s="75">
        <f t="shared" si="29"/>
        <v>0</v>
      </c>
      <c r="H63" s="75">
        <f t="shared" si="30"/>
        <v>0</v>
      </c>
      <c r="I63" s="75">
        <f t="shared" si="31"/>
        <v>0</v>
      </c>
      <c r="J63" s="75">
        <f t="shared" si="32"/>
        <v>0</v>
      </c>
      <c r="K63" s="75">
        <f t="shared" si="33"/>
        <v>0</v>
      </c>
      <c r="L63" s="75">
        <f t="shared" si="34"/>
        <v>0</v>
      </c>
      <c r="M63" s="75">
        <f t="shared" si="35"/>
        <v>0</v>
      </c>
      <c r="N63" s="79"/>
      <c r="O63" s="74">
        <v>7</v>
      </c>
      <c r="P63" s="75">
        <f t="shared" si="36"/>
        <v>0</v>
      </c>
      <c r="Q63" s="75">
        <f t="shared" si="37"/>
        <v>0</v>
      </c>
      <c r="R63" s="75">
        <f t="shared" si="38"/>
        <v>0</v>
      </c>
      <c r="S63" s="75">
        <f t="shared" si="39"/>
        <v>0</v>
      </c>
      <c r="T63" s="75">
        <f t="shared" si="40"/>
        <v>0</v>
      </c>
      <c r="U63" s="75">
        <f t="shared" si="41"/>
        <v>0</v>
      </c>
      <c r="V63" s="75">
        <f t="shared" si="42"/>
        <v>0</v>
      </c>
      <c r="W63" s="75">
        <f t="shared" si="43"/>
        <v>0</v>
      </c>
      <c r="X63" s="75">
        <f t="shared" si="44"/>
        <v>0</v>
      </c>
      <c r="Y63" s="75">
        <f t="shared" si="45"/>
        <v>0</v>
      </c>
      <c r="Z63" s="75">
        <f t="shared" si="46"/>
        <v>0</v>
      </c>
      <c r="AA63" s="75">
        <f t="shared" si="47"/>
        <v>0</v>
      </c>
      <c r="AB63" s="79"/>
      <c r="AC63" s="28" t="s">
        <v>201</v>
      </c>
      <c r="AD63" s="81">
        <f>B61</f>
        <v>0</v>
      </c>
      <c r="AE63" s="81">
        <f>P61</f>
        <v>0</v>
      </c>
    </row>
    <row r="64" spans="1:34">
      <c r="A64" s="74">
        <v>8</v>
      </c>
      <c r="B64" s="75">
        <f t="shared" si="24"/>
        <v>0</v>
      </c>
      <c r="C64" s="75">
        <f t="shared" si="25"/>
        <v>0</v>
      </c>
      <c r="D64" s="75">
        <f t="shared" si="26"/>
        <v>0</v>
      </c>
      <c r="E64" s="75">
        <f t="shared" si="27"/>
        <v>0</v>
      </c>
      <c r="F64" s="75">
        <f t="shared" si="28"/>
        <v>0</v>
      </c>
      <c r="G64" s="75">
        <f t="shared" si="29"/>
        <v>0</v>
      </c>
      <c r="H64" s="75">
        <f t="shared" si="30"/>
        <v>0</v>
      </c>
      <c r="I64" s="75">
        <f t="shared" si="31"/>
        <v>0</v>
      </c>
      <c r="J64" s="75">
        <f t="shared" si="32"/>
        <v>0</v>
      </c>
      <c r="K64" s="75">
        <f t="shared" si="33"/>
        <v>0</v>
      </c>
      <c r="L64" s="75">
        <f t="shared" si="34"/>
        <v>0</v>
      </c>
      <c r="M64" s="75">
        <f t="shared" si="35"/>
        <v>0</v>
      </c>
      <c r="N64" s="79"/>
      <c r="O64" s="74">
        <v>8</v>
      </c>
      <c r="P64" s="75">
        <f t="shared" si="36"/>
        <v>0</v>
      </c>
      <c r="Q64" s="75">
        <f t="shared" si="37"/>
        <v>0</v>
      </c>
      <c r="R64" s="75">
        <f t="shared" si="38"/>
        <v>0</v>
      </c>
      <c r="S64" s="75">
        <f t="shared" si="39"/>
        <v>0</v>
      </c>
      <c r="T64" s="75">
        <f t="shared" si="40"/>
        <v>0</v>
      </c>
      <c r="U64" s="75">
        <f t="shared" si="41"/>
        <v>0</v>
      </c>
      <c r="V64" s="75">
        <f t="shared" si="42"/>
        <v>0</v>
      </c>
      <c r="W64" s="75">
        <f t="shared" si="43"/>
        <v>0</v>
      </c>
      <c r="X64" s="75">
        <f t="shared" si="44"/>
        <v>0</v>
      </c>
      <c r="Y64" s="75">
        <f t="shared" si="45"/>
        <v>0</v>
      </c>
      <c r="Z64" s="75">
        <f t="shared" si="46"/>
        <v>0</v>
      </c>
      <c r="AA64" s="75">
        <f t="shared" si="47"/>
        <v>0</v>
      </c>
      <c r="AB64" s="79"/>
      <c r="AC64" s="28" t="s">
        <v>202</v>
      </c>
      <c r="AD64" s="81">
        <f>C61</f>
        <v>0</v>
      </c>
      <c r="AE64" s="81">
        <f>Q61</f>
        <v>0</v>
      </c>
    </row>
    <row r="65" spans="1:33">
      <c r="A65" s="74">
        <v>9</v>
      </c>
      <c r="B65" s="75">
        <f t="shared" si="24"/>
        <v>0</v>
      </c>
      <c r="C65" s="75">
        <f t="shared" si="25"/>
        <v>0</v>
      </c>
      <c r="D65" s="75">
        <f t="shared" si="26"/>
        <v>0</v>
      </c>
      <c r="E65" s="75">
        <f t="shared" si="27"/>
        <v>0</v>
      </c>
      <c r="F65" s="75">
        <f t="shared" si="28"/>
        <v>0</v>
      </c>
      <c r="G65" s="75">
        <f t="shared" si="29"/>
        <v>0</v>
      </c>
      <c r="H65" s="75">
        <f t="shared" si="30"/>
        <v>0</v>
      </c>
      <c r="I65" s="75">
        <f t="shared" si="31"/>
        <v>0</v>
      </c>
      <c r="J65" s="75">
        <f t="shared" si="32"/>
        <v>0</v>
      </c>
      <c r="K65" s="75">
        <f t="shared" si="33"/>
        <v>0</v>
      </c>
      <c r="L65" s="75">
        <f t="shared" si="34"/>
        <v>0</v>
      </c>
      <c r="M65" s="75">
        <f t="shared" si="35"/>
        <v>0</v>
      </c>
      <c r="N65" s="79"/>
      <c r="O65" s="74">
        <v>9</v>
      </c>
      <c r="P65" s="75">
        <f t="shared" si="36"/>
        <v>0</v>
      </c>
      <c r="Q65" s="75">
        <f t="shared" si="37"/>
        <v>0</v>
      </c>
      <c r="R65" s="75">
        <f t="shared" si="38"/>
        <v>0</v>
      </c>
      <c r="S65" s="75">
        <f t="shared" si="39"/>
        <v>0</v>
      </c>
      <c r="T65" s="75">
        <f t="shared" si="40"/>
        <v>0</v>
      </c>
      <c r="U65" s="75">
        <f t="shared" si="41"/>
        <v>0</v>
      </c>
      <c r="V65" s="75">
        <f t="shared" si="42"/>
        <v>0</v>
      </c>
      <c r="W65" s="75">
        <f t="shared" si="43"/>
        <v>0</v>
      </c>
      <c r="X65" s="75">
        <f t="shared" si="44"/>
        <v>0</v>
      </c>
      <c r="Y65" s="75">
        <f t="shared" si="45"/>
        <v>0</v>
      </c>
      <c r="Z65" s="75">
        <f t="shared" si="46"/>
        <v>0</v>
      </c>
      <c r="AA65" s="75">
        <f t="shared" si="47"/>
        <v>0</v>
      </c>
      <c r="AB65" s="79"/>
      <c r="AC65" s="28" t="s">
        <v>203</v>
      </c>
      <c r="AD65" s="81">
        <f>D61</f>
        <v>0</v>
      </c>
      <c r="AE65" s="81">
        <f>R61</f>
        <v>0</v>
      </c>
    </row>
    <row r="66" spans="1:33">
      <c r="A66" s="74">
        <v>10</v>
      </c>
      <c r="B66" s="75">
        <f t="shared" si="24"/>
        <v>0</v>
      </c>
      <c r="C66" s="75">
        <f t="shared" si="25"/>
        <v>0</v>
      </c>
      <c r="D66" s="75">
        <f t="shared" si="26"/>
        <v>0</v>
      </c>
      <c r="E66" s="75">
        <f t="shared" si="27"/>
        <v>0</v>
      </c>
      <c r="F66" s="75">
        <f t="shared" si="28"/>
        <v>0</v>
      </c>
      <c r="G66" s="75">
        <f t="shared" si="29"/>
        <v>0</v>
      </c>
      <c r="H66" s="75">
        <f t="shared" si="30"/>
        <v>0</v>
      </c>
      <c r="I66" s="75">
        <f t="shared" si="31"/>
        <v>0</v>
      </c>
      <c r="J66" s="75">
        <f t="shared" si="32"/>
        <v>0</v>
      </c>
      <c r="K66" s="75">
        <f t="shared" si="33"/>
        <v>0</v>
      </c>
      <c r="L66" s="75">
        <f t="shared" si="34"/>
        <v>0</v>
      </c>
      <c r="M66" s="75">
        <f t="shared" si="35"/>
        <v>0</v>
      </c>
      <c r="N66" s="79"/>
      <c r="O66" s="74">
        <v>10</v>
      </c>
      <c r="P66" s="75">
        <f t="shared" si="36"/>
        <v>0</v>
      </c>
      <c r="Q66" s="75">
        <f t="shared" si="37"/>
        <v>0</v>
      </c>
      <c r="R66" s="75">
        <f t="shared" si="38"/>
        <v>0</v>
      </c>
      <c r="S66" s="75">
        <f t="shared" si="39"/>
        <v>0</v>
      </c>
      <c r="T66" s="75">
        <f t="shared" si="40"/>
        <v>0</v>
      </c>
      <c r="U66" s="75">
        <f t="shared" si="41"/>
        <v>0</v>
      </c>
      <c r="V66" s="75">
        <f t="shared" si="42"/>
        <v>0</v>
      </c>
      <c r="W66" s="75">
        <f t="shared" si="43"/>
        <v>0</v>
      </c>
      <c r="X66" s="75">
        <f t="shared" si="44"/>
        <v>0</v>
      </c>
      <c r="Y66" s="75">
        <f t="shared" si="45"/>
        <v>0</v>
      </c>
      <c r="Z66" s="75">
        <f t="shared" si="46"/>
        <v>0</v>
      </c>
      <c r="AA66" s="75">
        <f t="shared" si="47"/>
        <v>0</v>
      </c>
      <c r="AB66" s="79"/>
      <c r="AC66" s="28" t="s">
        <v>204</v>
      </c>
      <c r="AD66" s="81">
        <f>E61</f>
        <v>0</v>
      </c>
      <c r="AE66" s="81">
        <f>S61</f>
        <v>0</v>
      </c>
    </row>
    <row r="67" spans="1:33">
      <c r="A67" s="74">
        <v>11</v>
      </c>
      <c r="B67" s="75">
        <f t="shared" si="24"/>
        <v>0</v>
      </c>
      <c r="C67" s="75">
        <f t="shared" si="25"/>
        <v>0</v>
      </c>
      <c r="D67" s="75">
        <f t="shared" si="26"/>
        <v>0</v>
      </c>
      <c r="E67" s="75">
        <f t="shared" si="27"/>
        <v>0</v>
      </c>
      <c r="F67" s="75">
        <f t="shared" si="28"/>
        <v>0</v>
      </c>
      <c r="G67" s="75">
        <f t="shared" si="29"/>
        <v>0</v>
      </c>
      <c r="H67" s="75">
        <f t="shared" si="30"/>
        <v>0</v>
      </c>
      <c r="I67" s="75">
        <f t="shared" si="31"/>
        <v>0</v>
      </c>
      <c r="J67" s="75">
        <f t="shared" si="32"/>
        <v>0</v>
      </c>
      <c r="K67" s="75">
        <f t="shared" si="33"/>
        <v>0</v>
      </c>
      <c r="L67" s="75">
        <f t="shared" si="34"/>
        <v>0</v>
      </c>
      <c r="M67" s="75">
        <f t="shared" si="35"/>
        <v>0</v>
      </c>
      <c r="N67" s="79"/>
      <c r="O67" s="74">
        <v>11</v>
      </c>
      <c r="P67" s="75">
        <f t="shared" si="36"/>
        <v>0</v>
      </c>
      <c r="Q67" s="75">
        <f t="shared" si="37"/>
        <v>0</v>
      </c>
      <c r="R67" s="75">
        <f t="shared" si="38"/>
        <v>0</v>
      </c>
      <c r="S67" s="75">
        <f t="shared" si="39"/>
        <v>0</v>
      </c>
      <c r="T67" s="75">
        <f t="shared" si="40"/>
        <v>0</v>
      </c>
      <c r="U67" s="75">
        <f t="shared" si="41"/>
        <v>0</v>
      </c>
      <c r="V67" s="75">
        <f t="shared" si="42"/>
        <v>0</v>
      </c>
      <c r="W67" s="75">
        <f t="shared" si="43"/>
        <v>0</v>
      </c>
      <c r="X67" s="75">
        <f t="shared" si="44"/>
        <v>0</v>
      </c>
      <c r="Y67" s="75">
        <f t="shared" si="45"/>
        <v>0</v>
      </c>
      <c r="Z67" s="75">
        <f t="shared" si="46"/>
        <v>0</v>
      </c>
      <c r="AA67" s="75">
        <f t="shared" si="47"/>
        <v>0</v>
      </c>
      <c r="AB67" s="79"/>
      <c r="AC67" s="28" t="s">
        <v>205</v>
      </c>
      <c r="AD67" s="81">
        <f>F61</f>
        <v>0</v>
      </c>
      <c r="AE67" s="81">
        <f>T61</f>
        <v>0</v>
      </c>
    </row>
    <row r="68" spans="1:33">
      <c r="A68" s="74">
        <v>12</v>
      </c>
      <c r="B68" s="75">
        <f t="shared" si="24"/>
        <v>0</v>
      </c>
      <c r="C68" s="75">
        <f t="shared" si="25"/>
        <v>0</v>
      </c>
      <c r="D68" s="75">
        <f t="shared" si="26"/>
        <v>0</v>
      </c>
      <c r="E68" s="75">
        <f t="shared" si="27"/>
        <v>0</v>
      </c>
      <c r="F68" s="75">
        <f t="shared" si="28"/>
        <v>0</v>
      </c>
      <c r="G68" s="75">
        <f t="shared" si="29"/>
        <v>0</v>
      </c>
      <c r="H68" s="75">
        <f t="shared" si="30"/>
        <v>0</v>
      </c>
      <c r="I68" s="75">
        <f t="shared" si="31"/>
        <v>0</v>
      </c>
      <c r="J68" s="75">
        <f t="shared" si="32"/>
        <v>0</v>
      </c>
      <c r="K68" s="75">
        <f t="shared" si="33"/>
        <v>0</v>
      </c>
      <c r="L68" s="75">
        <f t="shared" si="34"/>
        <v>0</v>
      </c>
      <c r="M68" s="75">
        <f t="shared" si="35"/>
        <v>0</v>
      </c>
      <c r="N68" s="79"/>
      <c r="O68" s="74">
        <v>12</v>
      </c>
      <c r="P68" s="75">
        <f t="shared" si="36"/>
        <v>0</v>
      </c>
      <c r="Q68" s="75">
        <f t="shared" si="37"/>
        <v>0</v>
      </c>
      <c r="R68" s="75">
        <f t="shared" si="38"/>
        <v>0</v>
      </c>
      <c r="S68" s="75">
        <f t="shared" si="39"/>
        <v>0</v>
      </c>
      <c r="T68" s="75">
        <f t="shared" si="40"/>
        <v>0</v>
      </c>
      <c r="U68" s="75">
        <f t="shared" si="41"/>
        <v>0</v>
      </c>
      <c r="V68" s="75">
        <f t="shared" si="42"/>
        <v>0</v>
      </c>
      <c r="W68" s="75">
        <f t="shared" si="43"/>
        <v>0</v>
      </c>
      <c r="X68" s="75">
        <f t="shared" si="44"/>
        <v>0</v>
      </c>
      <c r="Y68" s="75">
        <f t="shared" si="45"/>
        <v>0</v>
      </c>
      <c r="Z68" s="75">
        <f t="shared" si="46"/>
        <v>0</v>
      </c>
      <c r="AA68" s="75">
        <f t="shared" si="47"/>
        <v>0</v>
      </c>
      <c r="AB68" s="79"/>
      <c r="AC68" s="28" t="s">
        <v>206</v>
      </c>
      <c r="AD68" s="81">
        <f>G61</f>
        <v>0</v>
      </c>
      <c r="AE68" s="81">
        <f>U61</f>
        <v>0</v>
      </c>
    </row>
    <row r="69" spans="1:33">
      <c r="A69" s="74">
        <v>13</v>
      </c>
      <c r="B69" s="75">
        <f t="shared" si="24"/>
        <v>0</v>
      </c>
      <c r="C69" s="75">
        <f t="shared" si="25"/>
        <v>0</v>
      </c>
      <c r="D69" s="75">
        <f t="shared" si="26"/>
        <v>0</v>
      </c>
      <c r="E69" s="75">
        <f t="shared" si="27"/>
        <v>0</v>
      </c>
      <c r="F69" s="75">
        <f t="shared" si="28"/>
        <v>0</v>
      </c>
      <c r="G69" s="75">
        <f t="shared" si="29"/>
        <v>0</v>
      </c>
      <c r="H69" s="75">
        <f t="shared" si="30"/>
        <v>0</v>
      </c>
      <c r="I69" s="75">
        <f t="shared" si="31"/>
        <v>0</v>
      </c>
      <c r="J69" s="75">
        <f t="shared" si="32"/>
        <v>0</v>
      </c>
      <c r="K69" s="75">
        <f t="shared" si="33"/>
        <v>0</v>
      </c>
      <c r="L69" s="75">
        <f t="shared" si="34"/>
        <v>0</v>
      </c>
      <c r="M69" s="75">
        <f t="shared" si="35"/>
        <v>0</v>
      </c>
      <c r="N69" s="79"/>
      <c r="O69" s="74">
        <v>13</v>
      </c>
      <c r="P69" s="75">
        <f t="shared" si="36"/>
        <v>0</v>
      </c>
      <c r="Q69" s="75">
        <f t="shared" si="37"/>
        <v>0</v>
      </c>
      <c r="R69" s="75">
        <f t="shared" si="38"/>
        <v>0</v>
      </c>
      <c r="S69" s="75">
        <f t="shared" si="39"/>
        <v>0</v>
      </c>
      <c r="T69" s="75">
        <f t="shared" si="40"/>
        <v>0</v>
      </c>
      <c r="U69" s="75">
        <f t="shared" si="41"/>
        <v>0</v>
      </c>
      <c r="V69" s="75">
        <f t="shared" si="42"/>
        <v>0</v>
      </c>
      <c r="W69" s="75">
        <f t="shared" si="43"/>
        <v>0</v>
      </c>
      <c r="X69" s="75">
        <f t="shared" si="44"/>
        <v>0</v>
      </c>
      <c r="Y69" s="75">
        <f t="shared" si="45"/>
        <v>0</v>
      </c>
      <c r="Z69" s="75">
        <f t="shared" si="46"/>
        <v>0</v>
      </c>
      <c r="AA69" s="75">
        <f t="shared" si="47"/>
        <v>0</v>
      </c>
      <c r="AB69" s="79"/>
      <c r="AC69" s="28" t="s">
        <v>207</v>
      </c>
      <c r="AD69" s="81">
        <f>H61</f>
        <v>0</v>
      </c>
      <c r="AE69" s="81">
        <f>V61</f>
        <v>0</v>
      </c>
    </row>
    <row r="70" spans="1:33">
      <c r="A70" s="74">
        <v>14</v>
      </c>
      <c r="B70" s="75">
        <f t="shared" si="24"/>
        <v>0</v>
      </c>
      <c r="C70" s="75">
        <f t="shared" si="25"/>
        <v>0</v>
      </c>
      <c r="D70" s="75">
        <f t="shared" si="26"/>
        <v>0</v>
      </c>
      <c r="E70" s="75">
        <f t="shared" si="27"/>
        <v>0</v>
      </c>
      <c r="F70" s="75">
        <f t="shared" si="28"/>
        <v>0</v>
      </c>
      <c r="G70" s="75">
        <f t="shared" si="29"/>
        <v>0</v>
      </c>
      <c r="H70" s="75">
        <f t="shared" si="30"/>
        <v>0</v>
      </c>
      <c r="I70" s="75">
        <f t="shared" si="31"/>
        <v>0</v>
      </c>
      <c r="J70" s="75">
        <f t="shared" si="32"/>
        <v>0</v>
      </c>
      <c r="K70" s="75">
        <f t="shared" si="33"/>
        <v>0</v>
      </c>
      <c r="L70" s="75">
        <f t="shared" si="34"/>
        <v>0</v>
      </c>
      <c r="M70" s="75">
        <f t="shared" si="35"/>
        <v>0</v>
      </c>
      <c r="N70" s="79"/>
      <c r="O70" s="74">
        <v>14</v>
      </c>
      <c r="P70" s="75">
        <f t="shared" si="36"/>
        <v>0</v>
      </c>
      <c r="Q70" s="75">
        <f t="shared" si="37"/>
        <v>0</v>
      </c>
      <c r="R70" s="75">
        <f t="shared" si="38"/>
        <v>0</v>
      </c>
      <c r="S70" s="75">
        <f t="shared" si="39"/>
        <v>0</v>
      </c>
      <c r="T70" s="75">
        <f t="shared" si="40"/>
        <v>0</v>
      </c>
      <c r="U70" s="75">
        <f t="shared" si="41"/>
        <v>0</v>
      </c>
      <c r="V70" s="75">
        <f t="shared" si="42"/>
        <v>0</v>
      </c>
      <c r="W70" s="75">
        <f t="shared" si="43"/>
        <v>0</v>
      </c>
      <c r="X70" s="75">
        <f t="shared" si="44"/>
        <v>0</v>
      </c>
      <c r="Y70" s="75">
        <f t="shared" si="45"/>
        <v>0</v>
      </c>
      <c r="Z70" s="75">
        <f t="shared" si="46"/>
        <v>0</v>
      </c>
      <c r="AA70" s="75">
        <f t="shared" si="47"/>
        <v>0</v>
      </c>
      <c r="AB70" s="79"/>
      <c r="AC70" s="28" t="s">
        <v>208</v>
      </c>
      <c r="AD70" s="81">
        <f>I61</f>
        <v>0</v>
      </c>
      <c r="AE70" s="81">
        <f>W61</f>
        <v>0</v>
      </c>
    </row>
    <row r="71" spans="1:33">
      <c r="A71" s="74">
        <v>15</v>
      </c>
      <c r="B71" s="75">
        <f t="shared" si="24"/>
        <v>0</v>
      </c>
      <c r="C71" s="75">
        <f t="shared" si="25"/>
        <v>0</v>
      </c>
      <c r="D71" s="75">
        <f t="shared" si="26"/>
        <v>0</v>
      </c>
      <c r="E71" s="75">
        <f t="shared" si="27"/>
        <v>0</v>
      </c>
      <c r="F71" s="75">
        <f t="shared" si="28"/>
        <v>0</v>
      </c>
      <c r="G71" s="75">
        <f t="shared" si="29"/>
        <v>0</v>
      </c>
      <c r="H71" s="75">
        <f t="shared" si="30"/>
        <v>0</v>
      </c>
      <c r="I71" s="75">
        <f t="shared" si="31"/>
        <v>0</v>
      </c>
      <c r="J71" s="75">
        <f t="shared" si="32"/>
        <v>0</v>
      </c>
      <c r="K71" s="75">
        <f t="shared" si="33"/>
        <v>0</v>
      </c>
      <c r="L71" s="75">
        <f t="shared" si="34"/>
        <v>0</v>
      </c>
      <c r="M71" s="75">
        <f t="shared" si="35"/>
        <v>0</v>
      </c>
      <c r="N71" s="79"/>
      <c r="O71" s="74">
        <v>15</v>
      </c>
      <c r="P71" s="75">
        <f t="shared" si="36"/>
        <v>0</v>
      </c>
      <c r="Q71" s="75">
        <f t="shared" si="37"/>
        <v>0</v>
      </c>
      <c r="R71" s="75">
        <f t="shared" si="38"/>
        <v>0</v>
      </c>
      <c r="S71" s="75">
        <f t="shared" si="39"/>
        <v>0</v>
      </c>
      <c r="T71" s="75">
        <f t="shared" si="40"/>
        <v>0</v>
      </c>
      <c r="U71" s="75">
        <f t="shared" si="41"/>
        <v>0</v>
      </c>
      <c r="V71" s="75">
        <f t="shared" si="42"/>
        <v>0</v>
      </c>
      <c r="W71" s="75">
        <f t="shared" si="43"/>
        <v>0</v>
      </c>
      <c r="X71" s="75">
        <f t="shared" si="44"/>
        <v>0</v>
      </c>
      <c r="Y71" s="75">
        <f t="shared" si="45"/>
        <v>0</v>
      </c>
      <c r="Z71" s="75">
        <f t="shared" si="46"/>
        <v>0</v>
      </c>
      <c r="AA71" s="75">
        <f t="shared" si="47"/>
        <v>0</v>
      </c>
      <c r="AB71" s="79"/>
      <c r="AC71" s="28" t="s">
        <v>209</v>
      </c>
      <c r="AD71" s="81">
        <f>J61</f>
        <v>0</v>
      </c>
      <c r="AE71" s="81">
        <f>X61</f>
        <v>0</v>
      </c>
    </row>
    <row r="72" spans="1:33">
      <c r="A72" s="74">
        <v>16</v>
      </c>
      <c r="B72" s="75">
        <f t="shared" si="24"/>
        <v>0</v>
      </c>
      <c r="C72" s="75">
        <f t="shared" si="25"/>
        <v>0</v>
      </c>
      <c r="D72" s="75">
        <f t="shared" si="26"/>
        <v>0</v>
      </c>
      <c r="E72" s="75">
        <f t="shared" si="27"/>
        <v>0</v>
      </c>
      <c r="F72" s="75">
        <f t="shared" si="28"/>
        <v>0</v>
      </c>
      <c r="G72" s="75">
        <f t="shared" si="29"/>
        <v>0</v>
      </c>
      <c r="H72" s="75">
        <f t="shared" si="30"/>
        <v>0</v>
      </c>
      <c r="I72" s="75">
        <f t="shared" si="31"/>
        <v>0</v>
      </c>
      <c r="J72" s="75">
        <f t="shared" si="32"/>
        <v>0</v>
      </c>
      <c r="K72" s="75">
        <f t="shared" si="33"/>
        <v>0</v>
      </c>
      <c r="L72" s="75">
        <f t="shared" si="34"/>
        <v>0</v>
      </c>
      <c r="M72" s="75">
        <f t="shared" si="35"/>
        <v>0</v>
      </c>
      <c r="N72" s="79"/>
      <c r="O72" s="74">
        <v>16</v>
      </c>
      <c r="P72" s="75">
        <f t="shared" si="36"/>
        <v>0</v>
      </c>
      <c r="Q72" s="75">
        <f t="shared" si="37"/>
        <v>0</v>
      </c>
      <c r="R72" s="75">
        <f t="shared" si="38"/>
        <v>0</v>
      </c>
      <c r="S72" s="75">
        <f t="shared" si="39"/>
        <v>0</v>
      </c>
      <c r="T72" s="75">
        <f t="shared" si="40"/>
        <v>0</v>
      </c>
      <c r="U72" s="75">
        <f t="shared" si="41"/>
        <v>0</v>
      </c>
      <c r="V72" s="75">
        <f t="shared" si="42"/>
        <v>0</v>
      </c>
      <c r="W72" s="75">
        <f t="shared" si="43"/>
        <v>0</v>
      </c>
      <c r="X72" s="75">
        <f t="shared" si="44"/>
        <v>0</v>
      </c>
      <c r="Y72" s="75">
        <f t="shared" si="45"/>
        <v>0</v>
      </c>
      <c r="Z72" s="75">
        <f t="shared" si="46"/>
        <v>0</v>
      </c>
      <c r="AA72" s="75">
        <f t="shared" si="47"/>
        <v>0</v>
      </c>
      <c r="AB72" s="79"/>
      <c r="AC72" s="28" t="s">
        <v>210</v>
      </c>
      <c r="AD72" s="81">
        <f>K61</f>
        <v>0</v>
      </c>
      <c r="AE72" s="81">
        <f>Y61</f>
        <v>0</v>
      </c>
    </row>
    <row r="73" spans="1:33">
      <c r="A73" s="74">
        <v>17</v>
      </c>
      <c r="B73" s="75">
        <f t="shared" si="24"/>
        <v>0</v>
      </c>
      <c r="C73" s="75">
        <f t="shared" si="25"/>
        <v>0</v>
      </c>
      <c r="D73" s="75">
        <f t="shared" si="26"/>
        <v>0</v>
      </c>
      <c r="E73" s="75">
        <f t="shared" si="27"/>
        <v>0</v>
      </c>
      <c r="F73" s="75">
        <f t="shared" si="28"/>
        <v>0</v>
      </c>
      <c r="G73" s="75">
        <f t="shared" si="29"/>
        <v>0</v>
      </c>
      <c r="H73" s="75">
        <f t="shared" si="30"/>
        <v>0</v>
      </c>
      <c r="I73" s="75">
        <f t="shared" si="31"/>
        <v>0</v>
      </c>
      <c r="J73" s="75">
        <f t="shared" si="32"/>
        <v>0</v>
      </c>
      <c r="K73" s="75">
        <f t="shared" si="33"/>
        <v>0</v>
      </c>
      <c r="L73" s="75">
        <f t="shared" si="34"/>
        <v>0</v>
      </c>
      <c r="M73" s="75">
        <f t="shared" si="35"/>
        <v>0</v>
      </c>
      <c r="N73" s="79"/>
      <c r="O73" s="74">
        <v>17</v>
      </c>
      <c r="P73" s="75">
        <f t="shared" si="36"/>
        <v>0</v>
      </c>
      <c r="Q73" s="75">
        <f t="shared" si="37"/>
        <v>0</v>
      </c>
      <c r="R73" s="75">
        <f t="shared" si="38"/>
        <v>0</v>
      </c>
      <c r="S73" s="75">
        <f t="shared" si="39"/>
        <v>0</v>
      </c>
      <c r="T73" s="75">
        <f t="shared" si="40"/>
        <v>0</v>
      </c>
      <c r="U73" s="75">
        <f t="shared" si="41"/>
        <v>0</v>
      </c>
      <c r="V73" s="75">
        <f t="shared" si="42"/>
        <v>0</v>
      </c>
      <c r="W73" s="75">
        <f t="shared" si="43"/>
        <v>0</v>
      </c>
      <c r="X73" s="75">
        <f t="shared" si="44"/>
        <v>0</v>
      </c>
      <c r="Y73" s="75">
        <f t="shared" si="45"/>
        <v>0</v>
      </c>
      <c r="Z73" s="75">
        <f t="shared" si="46"/>
        <v>0</v>
      </c>
      <c r="AA73" s="75">
        <f t="shared" si="47"/>
        <v>0</v>
      </c>
      <c r="AB73" s="79"/>
      <c r="AC73" s="28" t="s">
        <v>211</v>
      </c>
      <c r="AD73" s="81">
        <f>L61</f>
        <v>0</v>
      </c>
      <c r="AE73" s="81">
        <f>Z61</f>
        <v>0</v>
      </c>
    </row>
    <row r="74" spans="1:33">
      <c r="A74" s="74">
        <v>18</v>
      </c>
      <c r="B74" s="75">
        <f t="shared" si="24"/>
        <v>0</v>
      </c>
      <c r="C74" s="75">
        <f t="shared" si="25"/>
        <v>0</v>
      </c>
      <c r="D74" s="75">
        <f t="shared" si="26"/>
        <v>0</v>
      </c>
      <c r="E74" s="75">
        <f t="shared" si="27"/>
        <v>0</v>
      </c>
      <c r="F74" s="75">
        <f t="shared" si="28"/>
        <v>0</v>
      </c>
      <c r="G74" s="75">
        <f t="shared" si="29"/>
        <v>0</v>
      </c>
      <c r="H74" s="75">
        <f t="shared" si="30"/>
        <v>0</v>
      </c>
      <c r="I74" s="75">
        <f t="shared" si="31"/>
        <v>0</v>
      </c>
      <c r="J74" s="75">
        <f t="shared" si="32"/>
        <v>0</v>
      </c>
      <c r="K74" s="75">
        <f t="shared" si="33"/>
        <v>0</v>
      </c>
      <c r="L74" s="75">
        <f t="shared" si="34"/>
        <v>0</v>
      </c>
      <c r="M74" s="75">
        <f t="shared" si="35"/>
        <v>0</v>
      </c>
      <c r="N74" s="79"/>
      <c r="O74" s="74">
        <v>18</v>
      </c>
      <c r="P74" s="75">
        <f t="shared" si="36"/>
        <v>0</v>
      </c>
      <c r="Q74" s="75">
        <f t="shared" si="37"/>
        <v>0</v>
      </c>
      <c r="R74" s="75">
        <f t="shared" si="38"/>
        <v>0</v>
      </c>
      <c r="S74" s="75">
        <f t="shared" si="39"/>
        <v>0</v>
      </c>
      <c r="T74" s="75">
        <f t="shared" si="40"/>
        <v>0</v>
      </c>
      <c r="U74" s="75">
        <f t="shared" si="41"/>
        <v>0</v>
      </c>
      <c r="V74" s="75">
        <f t="shared" si="42"/>
        <v>0</v>
      </c>
      <c r="W74" s="75">
        <f t="shared" si="43"/>
        <v>0</v>
      </c>
      <c r="X74" s="75">
        <f t="shared" si="44"/>
        <v>0</v>
      </c>
      <c r="Y74" s="75">
        <f t="shared" si="45"/>
        <v>0</v>
      </c>
      <c r="Z74" s="75">
        <f t="shared" si="46"/>
        <v>0</v>
      </c>
      <c r="AA74" s="75">
        <f t="shared" si="47"/>
        <v>0</v>
      </c>
      <c r="AB74" s="79"/>
      <c r="AC74" s="28" t="s">
        <v>212</v>
      </c>
      <c r="AD74" s="81">
        <f>M61</f>
        <v>0</v>
      </c>
      <c r="AE74" s="81">
        <f>AA61</f>
        <v>0</v>
      </c>
      <c r="AF74" s="79"/>
      <c r="AG74" s="79"/>
    </row>
    <row r="75" spans="1:33">
      <c r="A75" s="74">
        <v>19</v>
      </c>
      <c r="B75" s="75">
        <f t="shared" si="24"/>
        <v>0</v>
      </c>
      <c r="C75" s="75">
        <f t="shared" si="25"/>
        <v>0</v>
      </c>
      <c r="D75" s="75">
        <f t="shared" si="26"/>
        <v>0</v>
      </c>
      <c r="E75" s="75">
        <f t="shared" si="27"/>
        <v>0</v>
      </c>
      <c r="F75" s="75">
        <f t="shared" si="28"/>
        <v>0</v>
      </c>
      <c r="G75" s="75">
        <f t="shared" si="29"/>
        <v>0</v>
      </c>
      <c r="H75" s="75">
        <f t="shared" si="30"/>
        <v>0</v>
      </c>
      <c r="I75" s="75">
        <f t="shared" si="31"/>
        <v>0</v>
      </c>
      <c r="J75" s="75">
        <f t="shared" si="32"/>
        <v>0</v>
      </c>
      <c r="K75" s="75">
        <f t="shared" si="33"/>
        <v>0</v>
      </c>
      <c r="L75" s="75">
        <f t="shared" si="34"/>
        <v>0</v>
      </c>
      <c r="M75" s="75">
        <f t="shared" si="35"/>
        <v>0</v>
      </c>
      <c r="N75" s="79"/>
      <c r="O75" s="74">
        <v>19</v>
      </c>
      <c r="P75" s="75">
        <f t="shared" si="36"/>
        <v>0</v>
      </c>
      <c r="Q75" s="75">
        <f t="shared" si="37"/>
        <v>0</v>
      </c>
      <c r="R75" s="75">
        <f t="shared" si="38"/>
        <v>0</v>
      </c>
      <c r="S75" s="75">
        <f t="shared" si="39"/>
        <v>0</v>
      </c>
      <c r="T75" s="75">
        <f t="shared" si="40"/>
        <v>0</v>
      </c>
      <c r="U75" s="75">
        <f t="shared" si="41"/>
        <v>0</v>
      </c>
      <c r="V75" s="75">
        <f t="shared" si="42"/>
        <v>0</v>
      </c>
      <c r="W75" s="75">
        <f t="shared" si="43"/>
        <v>0</v>
      </c>
      <c r="X75" s="75">
        <f t="shared" si="44"/>
        <v>0</v>
      </c>
      <c r="Y75" s="75">
        <f t="shared" si="45"/>
        <v>0</v>
      </c>
      <c r="Z75" s="75">
        <f t="shared" si="46"/>
        <v>0</v>
      </c>
      <c r="AA75" s="75">
        <f t="shared" si="47"/>
        <v>0</v>
      </c>
      <c r="AB75" s="79"/>
      <c r="AC75" s="65" t="s">
        <v>213</v>
      </c>
      <c r="AD75" s="66">
        <f>B62</f>
        <v>0</v>
      </c>
      <c r="AE75" s="66">
        <f>P62</f>
        <v>0</v>
      </c>
    </row>
    <row r="76" spans="1:33">
      <c r="A76" s="74">
        <v>20</v>
      </c>
      <c r="B76" s="75">
        <f t="shared" si="24"/>
        <v>0</v>
      </c>
      <c r="C76" s="75">
        <f t="shared" si="25"/>
        <v>0</v>
      </c>
      <c r="D76" s="75">
        <f t="shared" si="26"/>
        <v>0</v>
      </c>
      <c r="E76" s="75">
        <f t="shared" si="27"/>
        <v>0</v>
      </c>
      <c r="F76" s="75">
        <f t="shared" si="28"/>
        <v>0</v>
      </c>
      <c r="G76" s="75">
        <f t="shared" si="29"/>
        <v>0</v>
      </c>
      <c r="H76" s="75">
        <f t="shared" si="30"/>
        <v>0</v>
      </c>
      <c r="I76" s="75">
        <f t="shared" si="31"/>
        <v>0</v>
      </c>
      <c r="J76" s="75">
        <f t="shared" si="32"/>
        <v>0</v>
      </c>
      <c r="K76" s="75">
        <f t="shared" si="33"/>
        <v>0</v>
      </c>
      <c r="L76" s="75">
        <f t="shared" si="34"/>
        <v>0</v>
      </c>
      <c r="M76" s="75">
        <f t="shared" si="35"/>
        <v>0</v>
      </c>
      <c r="N76" s="79"/>
      <c r="O76" s="74">
        <v>20</v>
      </c>
      <c r="P76" s="75">
        <f t="shared" si="36"/>
        <v>0</v>
      </c>
      <c r="Q76" s="75">
        <f t="shared" si="37"/>
        <v>0</v>
      </c>
      <c r="R76" s="75">
        <f t="shared" si="38"/>
        <v>0</v>
      </c>
      <c r="S76" s="75">
        <f t="shared" si="39"/>
        <v>0</v>
      </c>
      <c r="T76" s="75">
        <f t="shared" si="40"/>
        <v>0</v>
      </c>
      <c r="U76" s="75">
        <f t="shared" si="41"/>
        <v>0</v>
      </c>
      <c r="V76" s="75">
        <f t="shared" si="42"/>
        <v>0</v>
      </c>
      <c r="W76" s="75">
        <f t="shared" si="43"/>
        <v>0</v>
      </c>
      <c r="X76" s="75">
        <f t="shared" si="44"/>
        <v>0</v>
      </c>
      <c r="Y76" s="75">
        <f t="shared" si="45"/>
        <v>0</v>
      </c>
      <c r="Z76" s="75">
        <f t="shared" si="46"/>
        <v>0</v>
      </c>
      <c r="AA76" s="75">
        <f t="shared" si="47"/>
        <v>0</v>
      </c>
      <c r="AB76" s="79"/>
      <c r="AC76" s="65" t="s">
        <v>214</v>
      </c>
      <c r="AD76" s="66">
        <f>C62</f>
        <v>0</v>
      </c>
      <c r="AE76" s="66">
        <f>Q62</f>
        <v>0</v>
      </c>
    </row>
    <row r="77" spans="1:33">
      <c r="A77" s="74">
        <v>21</v>
      </c>
      <c r="B77" s="75">
        <f t="shared" si="24"/>
        <v>0</v>
      </c>
      <c r="C77" s="75">
        <f t="shared" si="25"/>
        <v>0</v>
      </c>
      <c r="D77" s="75">
        <f t="shared" si="26"/>
        <v>0</v>
      </c>
      <c r="E77" s="75">
        <f t="shared" si="27"/>
        <v>0</v>
      </c>
      <c r="F77" s="75">
        <f t="shared" si="28"/>
        <v>0</v>
      </c>
      <c r="G77" s="75">
        <f t="shared" si="29"/>
        <v>0</v>
      </c>
      <c r="H77" s="75">
        <f t="shared" si="30"/>
        <v>0</v>
      </c>
      <c r="I77" s="75">
        <f t="shared" si="31"/>
        <v>0</v>
      </c>
      <c r="J77" s="75">
        <f t="shared" si="32"/>
        <v>0</v>
      </c>
      <c r="K77" s="75">
        <f t="shared" si="33"/>
        <v>0</v>
      </c>
      <c r="L77" s="75">
        <f t="shared" si="34"/>
        <v>0</v>
      </c>
      <c r="M77" s="75">
        <f t="shared" si="35"/>
        <v>0</v>
      </c>
      <c r="N77" s="79"/>
      <c r="O77" s="74">
        <v>21</v>
      </c>
      <c r="P77" s="75">
        <f t="shared" si="36"/>
        <v>0</v>
      </c>
      <c r="Q77" s="75">
        <f t="shared" si="37"/>
        <v>0</v>
      </c>
      <c r="R77" s="75">
        <f t="shared" si="38"/>
        <v>0</v>
      </c>
      <c r="S77" s="75">
        <f t="shared" si="39"/>
        <v>0</v>
      </c>
      <c r="T77" s="75">
        <f t="shared" si="40"/>
        <v>0</v>
      </c>
      <c r="U77" s="75">
        <f t="shared" si="41"/>
        <v>0</v>
      </c>
      <c r="V77" s="75">
        <f t="shared" si="42"/>
        <v>0</v>
      </c>
      <c r="W77" s="75">
        <f t="shared" si="43"/>
        <v>0</v>
      </c>
      <c r="X77" s="75">
        <f t="shared" si="44"/>
        <v>0</v>
      </c>
      <c r="Y77" s="75">
        <f t="shared" si="45"/>
        <v>0</v>
      </c>
      <c r="Z77" s="75">
        <f t="shared" si="46"/>
        <v>0</v>
      </c>
      <c r="AA77" s="75">
        <f t="shared" si="47"/>
        <v>0</v>
      </c>
      <c r="AB77" s="79"/>
      <c r="AC77" s="65" t="s">
        <v>215</v>
      </c>
      <c r="AD77" s="66">
        <f>D62</f>
        <v>0</v>
      </c>
      <c r="AE77" s="66">
        <f>R62</f>
        <v>0</v>
      </c>
    </row>
    <row r="78" spans="1:33">
      <c r="A78" s="74">
        <v>22</v>
      </c>
      <c r="B78" s="75">
        <f t="shared" si="24"/>
        <v>0</v>
      </c>
      <c r="C78" s="75">
        <f t="shared" si="25"/>
        <v>0</v>
      </c>
      <c r="D78" s="75">
        <f t="shared" si="26"/>
        <v>0</v>
      </c>
      <c r="E78" s="75">
        <f t="shared" si="27"/>
        <v>0</v>
      </c>
      <c r="F78" s="75">
        <f t="shared" si="28"/>
        <v>0</v>
      </c>
      <c r="G78" s="75">
        <f t="shared" si="29"/>
        <v>0</v>
      </c>
      <c r="H78" s="75">
        <f t="shared" si="30"/>
        <v>0</v>
      </c>
      <c r="I78" s="75">
        <f t="shared" si="31"/>
        <v>0</v>
      </c>
      <c r="J78" s="75">
        <f t="shared" si="32"/>
        <v>0</v>
      </c>
      <c r="K78" s="75">
        <f t="shared" si="33"/>
        <v>0</v>
      </c>
      <c r="L78" s="75">
        <f t="shared" si="34"/>
        <v>0</v>
      </c>
      <c r="M78" s="75">
        <f t="shared" si="35"/>
        <v>0</v>
      </c>
      <c r="N78" s="79"/>
      <c r="O78" s="74">
        <v>22</v>
      </c>
      <c r="P78" s="75">
        <f t="shared" si="36"/>
        <v>0</v>
      </c>
      <c r="Q78" s="75">
        <f t="shared" si="37"/>
        <v>0</v>
      </c>
      <c r="R78" s="75">
        <f t="shared" si="38"/>
        <v>0</v>
      </c>
      <c r="S78" s="75">
        <f t="shared" si="39"/>
        <v>0</v>
      </c>
      <c r="T78" s="75">
        <f t="shared" si="40"/>
        <v>0</v>
      </c>
      <c r="U78" s="75">
        <f t="shared" si="41"/>
        <v>0</v>
      </c>
      <c r="V78" s="75">
        <f t="shared" si="42"/>
        <v>0</v>
      </c>
      <c r="W78" s="75">
        <f t="shared" si="43"/>
        <v>0</v>
      </c>
      <c r="X78" s="75">
        <f t="shared" si="44"/>
        <v>0</v>
      </c>
      <c r="Y78" s="75">
        <f t="shared" si="45"/>
        <v>0</v>
      </c>
      <c r="Z78" s="75">
        <f t="shared" si="46"/>
        <v>0</v>
      </c>
      <c r="AA78" s="75">
        <f t="shared" si="47"/>
        <v>0</v>
      </c>
      <c r="AB78" s="79"/>
      <c r="AC78" s="65" t="s">
        <v>216</v>
      </c>
      <c r="AD78" s="66">
        <f>E62</f>
        <v>0</v>
      </c>
      <c r="AE78" s="66">
        <f>S62</f>
        <v>0</v>
      </c>
    </row>
    <row r="79" spans="1:33">
      <c r="A79" s="74">
        <v>23</v>
      </c>
      <c r="B79" s="75">
        <f t="shared" si="24"/>
        <v>0</v>
      </c>
      <c r="C79" s="75">
        <f t="shared" si="25"/>
        <v>0</v>
      </c>
      <c r="D79" s="75">
        <f t="shared" si="26"/>
        <v>0</v>
      </c>
      <c r="E79" s="75">
        <f t="shared" si="27"/>
        <v>0</v>
      </c>
      <c r="F79" s="75">
        <f t="shared" si="28"/>
        <v>0</v>
      </c>
      <c r="G79" s="75">
        <f t="shared" si="29"/>
        <v>0</v>
      </c>
      <c r="H79" s="75">
        <f t="shared" si="30"/>
        <v>0</v>
      </c>
      <c r="I79" s="75">
        <f t="shared" si="31"/>
        <v>0</v>
      </c>
      <c r="J79" s="75">
        <f t="shared" si="32"/>
        <v>0</v>
      </c>
      <c r="K79" s="75">
        <f t="shared" si="33"/>
        <v>0</v>
      </c>
      <c r="L79" s="75">
        <f t="shared" si="34"/>
        <v>0</v>
      </c>
      <c r="M79" s="75">
        <f t="shared" si="35"/>
        <v>0</v>
      </c>
      <c r="N79" s="79"/>
      <c r="O79" s="74">
        <v>23</v>
      </c>
      <c r="P79" s="75">
        <f t="shared" si="36"/>
        <v>0</v>
      </c>
      <c r="Q79" s="75">
        <f t="shared" si="37"/>
        <v>0</v>
      </c>
      <c r="R79" s="75">
        <f t="shared" si="38"/>
        <v>0</v>
      </c>
      <c r="S79" s="75">
        <f t="shared" si="39"/>
        <v>0</v>
      </c>
      <c r="T79" s="75">
        <f t="shared" si="40"/>
        <v>0</v>
      </c>
      <c r="U79" s="75">
        <f t="shared" si="41"/>
        <v>0</v>
      </c>
      <c r="V79" s="75">
        <f t="shared" si="42"/>
        <v>0</v>
      </c>
      <c r="W79" s="75">
        <f t="shared" si="43"/>
        <v>0</v>
      </c>
      <c r="X79" s="75">
        <f t="shared" si="44"/>
        <v>0</v>
      </c>
      <c r="Y79" s="75">
        <f t="shared" si="45"/>
        <v>0</v>
      </c>
      <c r="Z79" s="75">
        <f t="shared" si="46"/>
        <v>0</v>
      </c>
      <c r="AA79" s="75">
        <f t="shared" si="47"/>
        <v>0</v>
      </c>
      <c r="AB79" s="79"/>
      <c r="AC79" s="65" t="s">
        <v>217</v>
      </c>
      <c r="AD79" s="66">
        <f>F62</f>
        <v>0</v>
      </c>
      <c r="AE79" s="66">
        <f>T62</f>
        <v>0</v>
      </c>
    </row>
    <row r="80" spans="1:33">
      <c r="A80" s="88"/>
      <c r="B80" s="89"/>
      <c r="C80" s="89"/>
      <c r="D80" s="89"/>
      <c r="E80" s="89"/>
      <c r="F80" s="89"/>
      <c r="G80" s="89"/>
      <c r="H80" s="89"/>
      <c r="I80" s="89"/>
      <c r="J80" s="89"/>
      <c r="K80" s="89"/>
      <c r="L80" s="89"/>
      <c r="M80" s="89"/>
      <c r="N80" s="79"/>
      <c r="O80" s="88"/>
      <c r="P80" s="89"/>
      <c r="Q80" s="89"/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79"/>
      <c r="AC80" s="65" t="s">
        <v>218</v>
      </c>
      <c r="AD80" s="72">
        <f>G62</f>
        <v>0</v>
      </c>
      <c r="AE80" s="66">
        <f>U62</f>
        <v>0</v>
      </c>
    </row>
    <row r="81" spans="1:33">
      <c r="A81" s="22" t="s">
        <v>134</v>
      </c>
      <c r="B81" s="22">
        <v>0</v>
      </c>
      <c r="C81" s="22">
        <v>1</v>
      </c>
      <c r="D81" s="22">
        <v>2</v>
      </c>
      <c r="E81" s="22">
        <v>3</v>
      </c>
      <c r="F81" s="22">
        <v>4</v>
      </c>
      <c r="G81" s="22">
        <v>5</v>
      </c>
      <c r="H81" s="22">
        <v>6</v>
      </c>
      <c r="I81" s="22">
        <v>7</v>
      </c>
      <c r="J81" s="159">
        <v>8</v>
      </c>
      <c r="K81" s="159">
        <v>9</v>
      </c>
      <c r="L81" s="159">
        <v>10</v>
      </c>
      <c r="M81" s="159">
        <v>11</v>
      </c>
      <c r="N81" s="22">
        <v>12</v>
      </c>
      <c r="O81" s="22">
        <v>13</v>
      </c>
      <c r="P81" s="22">
        <v>14</v>
      </c>
      <c r="Q81" s="22">
        <v>15</v>
      </c>
      <c r="R81" s="22">
        <v>16</v>
      </c>
      <c r="S81" s="22">
        <v>17</v>
      </c>
      <c r="T81" s="22">
        <v>18</v>
      </c>
      <c r="U81" s="22">
        <v>19</v>
      </c>
      <c r="V81" s="22">
        <v>20</v>
      </c>
      <c r="W81" s="22">
        <v>21</v>
      </c>
      <c r="X81" s="22">
        <v>22</v>
      </c>
      <c r="Y81" s="22">
        <v>23</v>
      </c>
      <c r="Z81" s="157" t="s">
        <v>435</v>
      </c>
      <c r="AA81" s="79"/>
      <c r="AC81" s="65" t="s">
        <v>219</v>
      </c>
      <c r="AD81" s="66">
        <f>H62</f>
        <v>0</v>
      </c>
      <c r="AE81" s="66">
        <f>V62</f>
        <v>0</v>
      </c>
    </row>
    <row r="82" spans="1:33">
      <c r="A82" s="155" t="s">
        <v>435</v>
      </c>
      <c r="B82" s="204">
        <f>SUM($B$56:$M$56)</f>
        <v>0</v>
      </c>
      <c r="C82" s="156">
        <f>SUM($B$57:$M$57)</f>
        <v>0</v>
      </c>
      <c r="D82" s="156">
        <f>SUM($B$58:$M$58)</f>
        <v>0</v>
      </c>
      <c r="E82" s="156">
        <f>SUM($B$59:$M$59)</f>
        <v>0</v>
      </c>
      <c r="F82" s="156">
        <f>SUM($B$60:$M$60)</f>
        <v>0</v>
      </c>
      <c r="G82" s="156">
        <f>SUM($B$61:$M$61)</f>
        <v>0</v>
      </c>
      <c r="H82" s="156">
        <f>SUM($B$62:$M$62)</f>
        <v>0</v>
      </c>
      <c r="I82" s="156">
        <f>SUM($B$63:$M$63)</f>
        <v>0</v>
      </c>
      <c r="J82" s="205">
        <f>SUM($B$64:$M$64)</f>
        <v>0</v>
      </c>
      <c r="K82" s="205">
        <f>SUM($B$65:$M$65)</f>
        <v>0</v>
      </c>
      <c r="L82" s="156">
        <f>SUM($B$66:$M$66)</f>
        <v>0</v>
      </c>
      <c r="M82" s="205">
        <f>SUM($B$67:$M$67)</f>
        <v>0</v>
      </c>
      <c r="N82" s="205">
        <f>SUM($B$68:$M$68)</f>
        <v>0</v>
      </c>
      <c r="O82" s="156">
        <f>SUM($B$69:$M$69)</f>
        <v>0</v>
      </c>
      <c r="P82" s="156">
        <f>SUM($B$70:$M$70)</f>
        <v>0</v>
      </c>
      <c r="Q82" s="156">
        <f>SUM($B$71:$M$71)</f>
        <v>0</v>
      </c>
      <c r="R82" s="156">
        <f>SUM($B$72:$M$72)</f>
        <v>0</v>
      </c>
      <c r="S82" s="156">
        <f>SUM($B$73:$M$73)</f>
        <v>0</v>
      </c>
      <c r="T82" s="156">
        <f>SUM($B$74:$M$74)</f>
        <v>0</v>
      </c>
      <c r="U82" s="156">
        <f>SUM($B$75:$M$75)</f>
        <v>0</v>
      </c>
      <c r="V82" s="156">
        <f>SUM($B$76:$M$76)</f>
        <v>0</v>
      </c>
      <c r="W82" s="156">
        <f>SUM($B$77:$M$77)</f>
        <v>0</v>
      </c>
      <c r="X82" s="156">
        <f>SUM($B$78:$M$78)</f>
        <v>0</v>
      </c>
      <c r="Y82" s="156">
        <f>SUM($B$79:$M$79)</f>
        <v>0</v>
      </c>
      <c r="Z82" s="157">
        <f>SUM(B82:Y82)</f>
        <v>0</v>
      </c>
      <c r="AA82" s="91"/>
      <c r="AC82" s="65" t="s">
        <v>220</v>
      </c>
      <c r="AD82" s="66">
        <f>I62</f>
        <v>0</v>
      </c>
      <c r="AE82" s="66">
        <f>W62</f>
        <v>0</v>
      </c>
    </row>
    <row r="83" spans="1:33">
      <c r="A83" s="155" t="s">
        <v>449</v>
      </c>
      <c r="B83" s="204">
        <f>MIN(B56:M56)</f>
        <v>0</v>
      </c>
      <c r="C83" s="156">
        <f>MIN(B57:M57)</f>
        <v>0</v>
      </c>
      <c r="D83" s="156">
        <f>MIN(B58:M58)</f>
        <v>0</v>
      </c>
      <c r="E83" s="156">
        <f>MIN(B59:M59)</f>
        <v>0</v>
      </c>
      <c r="F83" s="156">
        <f>MIN(B60:M60)</f>
        <v>0</v>
      </c>
      <c r="G83" s="156">
        <f>MIN(B61:M61)</f>
        <v>0</v>
      </c>
      <c r="H83" s="156">
        <f>MIN(B62:M62)</f>
        <v>0</v>
      </c>
      <c r="I83" s="156">
        <f>MIN(B63:M63)</f>
        <v>0</v>
      </c>
      <c r="J83" s="205">
        <f>MIN(B64:M64)</f>
        <v>0</v>
      </c>
      <c r="K83" s="205">
        <f>MIN(B65:M65)</f>
        <v>0</v>
      </c>
      <c r="L83" s="156">
        <f>MIN(B66:M66)</f>
        <v>0</v>
      </c>
      <c r="M83" s="205">
        <f>MIN(B67:M67)</f>
        <v>0</v>
      </c>
      <c r="N83" s="205">
        <f>MIN(B68:M68)</f>
        <v>0</v>
      </c>
      <c r="O83" s="156">
        <f>MIN(B69:M69)</f>
        <v>0</v>
      </c>
      <c r="P83" s="156">
        <f>MIN(B70:M70)</f>
        <v>0</v>
      </c>
      <c r="Q83" s="156">
        <f>MIN(B71:M71)</f>
        <v>0</v>
      </c>
      <c r="R83" s="156">
        <f>MIN(B72:M72)</f>
        <v>0</v>
      </c>
      <c r="S83" s="156">
        <f>MIN(B73:M73)</f>
        <v>0</v>
      </c>
      <c r="T83" s="156">
        <f>MIN(B74:M74)</f>
        <v>0</v>
      </c>
      <c r="U83" s="156">
        <f>MIN(B75:M75)</f>
        <v>0</v>
      </c>
      <c r="V83" s="156">
        <f>MIN(B76:M76)</f>
        <v>0</v>
      </c>
      <c r="W83" s="156">
        <f>MIN(B77:M77)</f>
        <v>0</v>
      </c>
      <c r="X83" s="156">
        <f>MIN(B78:M78)</f>
        <v>0</v>
      </c>
      <c r="Y83" s="156">
        <f>MIN(B79:M79)</f>
        <v>0</v>
      </c>
      <c r="Z83" s="157">
        <f>MIN(B56:M79)</f>
        <v>0</v>
      </c>
      <c r="AC83" s="65" t="s">
        <v>221</v>
      </c>
      <c r="AD83" s="66">
        <f>J62</f>
        <v>0</v>
      </c>
      <c r="AE83" s="66">
        <f>X62</f>
        <v>0</v>
      </c>
    </row>
    <row r="84" spans="1:33">
      <c r="A84" s="155" t="s">
        <v>772</v>
      </c>
      <c r="B84" s="204">
        <f>AVERAGE(B56:M56)</f>
        <v>0</v>
      </c>
      <c r="C84" s="156">
        <f>AVERAGE(B57:M57)</f>
        <v>0</v>
      </c>
      <c r="D84" s="156">
        <f>AVERAGE(B58:M58)</f>
        <v>0</v>
      </c>
      <c r="E84" s="156">
        <f>AVERAGE(B59:M59)</f>
        <v>0</v>
      </c>
      <c r="F84" s="156">
        <f>AVERAGE(B60:M60)</f>
        <v>0</v>
      </c>
      <c r="G84" s="156">
        <f>AVERAGE(B61:M61)</f>
        <v>0</v>
      </c>
      <c r="H84" s="156">
        <f>AVERAGE(B62:M62)</f>
        <v>0</v>
      </c>
      <c r="I84" s="156">
        <f>AVERAGE(B63:M63)</f>
        <v>0</v>
      </c>
      <c r="J84" s="205">
        <f>AVERAGE(B64:M64)</f>
        <v>0</v>
      </c>
      <c r="K84" s="205">
        <f>AVERAGE(B65:M65)</f>
        <v>0</v>
      </c>
      <c r="L84" s="156">
        <f>AVERAGE(B66:M66)</f>
        <v>0</v>
      </c>
      <c r="M84" s="205">
        <f>AVERAGE(B67:M67)</f>
        <v>0</v>
      </c>
      <c r="N84" s="205">
        <f>AVERAGE(B68:M68)</f>
        <v>0</v>
      </c>
      <c r="O84" s="156">
        <f>AVERAGE(B69:M69)</f>
        <v>0</v>
      </c>
      <c r="P84" s="156">
        <f>AVERAGE(B70:M70)</f>
        <v>0</v>
      </c>
      <c r="Q84" s="156">
        <f>AVERAGE(B71:M71)</f>
        <v>0</v>
      </c>
      <c r="R84" s="156">
        <f>AVERAGE(B72:M72)</f>
        <v>0</v>
      </c>
      <c r="S84" s="156">
        <f>AVERAGE(B73:M73)</f>
        <v>0</v>
      </c>
      <c r="T84" s="156">
        <f>AVERAGE(B74:M74)</f>
        <v>0</v>
      </c>
      <c r="U84" s="156">
        <f>AVERAGE(B75:M75)</f>
        <v>0</v>
      </c>
      <c r="V84" s="156">
        <f>AVERAGE(B76:M76)</f>
        <v>0</v>
      </c>
      <c r="W84" s="156">
        <f>AVERAGE(B77:M77)</f>
        <v>0</v>
      </c>
      <c r="X84" s="156">
        <f>AVERAGE(B78:M78)</f>
        <v>0</v>
      </c>
      <c r="Y84" s="156">
        <f>AVERAGE(B79:M79)</f>
        <v>0</v>
      </c>
      <c r="Z84" s="163">
        <f>AVERAGE(B56:M79)</f>
        <v>0</v>
      </c>
      <c r="AC84" s="65" t="s">
        <v>222</v>
      </c>
      <c r="AD84" s="66">
        <f>K62</f>
        <v>0</v>
      </c>
      <c r="AE84" s="66">
        <f>Y62</f>
        <v>0</v>
      </c>
    </row>
    <row r="85" spans="1:33">
      <c r="A85" s="155" t="s">
        <v>450</v>
      </c>
      <c r="B85" s="206">
        <f>MAX(B56:M56)</f>
        <v>0</v>
      </c>
      <c r="C85" s="207">
        <f>MAX(B57:M57)</f>
        <v>0</v>
      </c>
      <c r="D85" s="207">
        <f>MAX(B58:M58)</f>
        <v>0</v>
      </c>
      <c r="E85" s="207">
        <f>MAX(B59:M59)</f>
        <v>0</v>
      </c>
      <c r="F85" s="207">
        <f>MAX(B60:M60)</f>
        <v>0</v>
      </c>
      <c r="G85" s="207">
        <f>MAX(B61:M61)</f>
        <v>0</v>
      </c>
      <c r="H85" s="207">
        <f>MAX(B62:M62)</f>
        <v>0</v>
      </c>
      <c r="I85" s="206">
        <f>MAX(B63:M63)</f>
        <v>0</v>
      </c>
      <c r="J85" s="208">
        <f>MAX(B64:M64)</f>
        <v>0</v>
      </c>
      <c r="K85" s="208">
        <f>MAX(B65:M65)</f>
        <v>0</v>
      </c>
      <c r="L85" s="208">
        <f>MAX(B66:M66)</f>
        <v>0</v>
      </c>
      <c r="M85" s="208">
        <f>MAX(B67:M67)</f>
        <v>0</v>
      </c>
      <c r="N85" s="208">
        <f>MAX(B68:M68)</f>
        <v>0</v>
      </c>
      <c r="O85" s="207">
        <f>MAX(B69:M69)</f>
        <v>0</v>
      </c>
      <c r="P85" s="207">
        <f>MAX(B70:M70)</f>
        <v>0</v>
      </c>
      <c r="Q85" s="207">
        <f>MAX(B71:M71)</f>
        <v>0</v>
      </c>
      <c r="R85" s="207">
        <f>MAX(B72:M72)</f>
        <v>0</v>
      </c>
      <c r="S85" s="207">
        <f>MAX(B73:M73)</f>
        <v>0</v>
      </c>
      <c r="T85" s="207">
        <f>MAX(B74:M74)</f>
        <v>0</v>
      </c>
      <c r="U85" s="207">
        <f>MAX(B75:M75)</f>
        <v>0</v>
      </c>
      <c r="V85" s="207">
        <f>MAX(B76:M76)</f>
        <v>0</v>
      </c>
      <c r="W85" s="207">
        <f>MAX(B77:M77)</f>
        <v>0</v>
      </c>
      <c r="X85" s="207">
        <f>MAX(B78:M78)</f>
        <v>0</v>
      </c>
      <c r="Y85" s="207">
        <f>MAX(B79:M79)</f>
        <v>0</v>
      </c>
      <c r="Z85" s="163">
        <f>MAX(B56:M79)</f>
        <v>0</v>
      </c>
      <c r="AC85" s="65" t="s">
        <v>223</v>
      </c>
      <c r="AD85" s="66">
        <f>L62</f>
        <v>0</v>
      </c>
      <c r="AE85" s="66">
        <f>Z62</f>
        <v>0</v>
      </c>
    </row>
    <row r="86" spans="1:33">
      <c r="B86" s="88"/>
      <c r="I86" s="88"/>
      <c r="J86" s="92"/>
      <c r="K86" s="92"/>
      <c r="L86" s="92"/>
      <c r="M86" s="92"/>
      <c r="N86" s="92"/>
      <c r="AC86" s="65" t="s">
        <v>224</v>
      </c>
      <c r="AD86" s="66">
        <f>M62</f>
        <v>0</v>
      </c>
      <c r="AE86" s="66">
        <f>AA62</f>
        <v>0</v>
      </c>
      <c r="AF86" s="79"/>
      <c r="AG86" s="79"/>
    </row>
    <row r="87" spans="1:33">
      <c r="A87" s="22" t="s">
        <v>135</v>
      </c>
      <c r="B87" s="22">
        <v>0</v>
      </c>
      <c r="C87" s="22">
        <v>1</v>
      </c>
      <c r="D87" s="22">
        <v>2</v>
      </c>
      <c r="E87" s="22">
        <v>3</v>
      </c>
      <c r="F87" s="22">
        <v>4</v>
      </c>
      <c r="G87" s="22">
        <v>5</v>
      </c>
      <c r="H87" s="22">
        <v>6</v>
      </c>
      <c r="I87" s="22">
        <v>7</v>
      </c>
      <c r="J87" s="159">
        <v>8</v>
      </c>
      <c r="K87" s="159">
        <v>9</v>
      </c>
      <c r="L87" s="159">
        <v>10</v>
      </c>
      <c r="M87" s="159">
        <v>11</v>
      </c>
      <c r="N87" s="22">
        <v>12</v>
      </c>
      <c r="O87" s="22">
        <v>13</v>
      </c>
      <c r="P87" s="22">
        <v>14</v>
      </c>
      <c r="Q87" s="22">
        <v>15</v>
      </c>
      <c r="R87" s="22">
        <v>16</v>
      </c>
      <c r="S87" s="22">
        <v>17</v>
      </c>
      <c r="T87" s="22">
        <v>18</v>
      </c>
      <c r="U87" s="22">
        <v>19</v>
      </c>
      <c r="V87" s="22">
        <v>20</v>
      </c>
      <c r="W87" s="22">
        <v>21</v>
      </c>
      <c r="X87" s="22">
        <v>22</v>
      </c>
      <c r="Y87" s="22">
        <v>23</v>
      </c>
      <c r="Z87" s="157" t="s">
        <v>435</v>
      </c>
      <c r="AC87" s="28" t="s">
        <v>225</v>
      </c>
      <c r="AD87" s="81">
        <f>B63</f>
        <v>0</v>
      </c>
      <c r="AE87" s="81">
        <f>P63</f>
        <v>0</v>
      </c>
    </row>
    <row r="88" spans="1:33">
      <c r="A88" s="155" t="s">
        <v>435</v>
      </c>
      <c r="B88" s="160">
        <f>SUM($P$56:$AA$56)</f>
        <v>0</v>
      </c>
      <c r="C88" s="156">
        <f>SUM($P$57:$AA$57)</f>
        <v>0</v>
      </c>
      <c r="D88" s="156">
        <f>SUM($P$58:$AA$58)</f>
        <v>0</v>
      </c>
      <c r="E88" s="156">
        <f>SUM($P$59:$AA$59)</f>
        <v>0</v>
      </c>
      <c r="F88" s="156">
        <f>SUM($P$60:$AA$60)</f>
        <v>0</v>
      </c>
      <c r="G88" s="156">
        <f>SUM($P$61:$AA$61)</f>
        <v>0</v>
      </c>
      <c r="H88" s="156">
        <f>SUM($P$62:$AA$62)</f>
        <v>0</v>
      </c>
      <c r="I88" s="156">
        <f>SUM($P$63:$AA$63)</f>
        <v>0</v>
      </c>
      <c r="J88" s="161">
        <f>SUM($P$64:$AA$64)</f>
        <v>0</v>
      </c>
      <c r="K88" s="161">
        <f>SUM($P$65:$AA$65)</f>
        <v>0</v>
      </c>
      <c r="L88" s="156">
        <f>SUM($P$66:$AA$66)</f>
        <v>0</v>
      </c>
      <c r="M88" s="161">
        <f>SUM($P$67:$AA$67)</f>
        <v>0</v>
      </c>
      <c r="N88" s="161">
        <f>SUM($P$68:$AA$68)</f>
        <v>0</v>
      </c>
      <c r="O88" s="156">
        <f>SUM($P$69:$AA$69)</f>
        <v>0</v>
      </c>
      <c r="P88" s="156">
        <f>SUM($P$70:$AA$70)</f>
        <v>0</v>
      </c>
      <c r="Q88" s="156">
        <f>SUM($P$71:$AA$71)</f>
        <v>0</v>
      </c>
      <c r="R88" s="156">
        <f>SUM($P$72:$AA$72)</f>
        <v>0</v>
      </c>
      <c r="S88" s="156">
        <f>SUM($P$73:$AA$73)</f>
        <v>0</v>
      </c>
      <c r="T88" s="156">
        <f>SUM($P$74:$AA$74)</f>
        <v>0</v>
      </c>
      <c r="U88" s="156">
        <f>SUM($P$75:$AA$75)</f>
        <v>0</v>
      </c>
      <c r="V88" s="156">
        <f>SUM($P$76:$AA$76)</f>
        <v>0</v>
      </c>
      <c r="W88" s="156">
        <f>SUM($P$77:$AA$77)</f>
        <v>0</v>
      </c>
      <c r="X88" s="156">
        <f>SUM($P$78:$AA$78)</f>
        <v>0</v>
      </c>
      <c r="Y88" s="156">
        <f>SUM($P$79:$AA$79)</f>
        <v>0</v>
      </c>
      <c r="Z88" s="157">
        <f>SUM(P56:AA79)</f>
        <v>0</v>
      </c>
      <c r="AC88" s="28" t="s">
        <v>226</v>
      </c>
      <c r="AD88" s="81">
        <f>C63</f>
        <v>0</v>
      </c>
      <c r="AE88" s="81">
        <f>Q63</f>
        <v>0</v>
      </c>
    </row>
    <row r="89" spans="1:33">
      <c r="A89" s="155" t="s">
        <v>449</v>
      </c>
      <c r="B89" s="160">
        <f>MIN($P$56:$AA$56)</f>
        <v>0</v>
      </c>
      <c r="C89" s="156">
        <f>MIN($P$57:$AA$57)</f>
        <v>0</v>
      </c>
      <c r="D89" s="156">
        <f>MIN($P$58:$AA$58)</f>
        <v>0</v>
      </c>
      <c r="E89" s="156">
        <f>MIN($P$59:$AA$59)</f>
        <v>0</v>
      </c>
      <c r="F89" s="156">
        <f>MIN($P$60:$AA$60)</f>
        <v>0</v>
      </c>
      <c r="G89" s="156">
        <f>MIN($P$61:$AA$61)</f>
        <v>0</v>
      </c>
      <c r="H89" s="156">
        <f>MIN($P$62:$AA$62)</f>
        <v>0</v>
      </c>
      <c r="I89" s="156">
        <f>MIN($P$63:$AA$63)</f>
        <v>0</v>
      </c>
      <c r="J89" s="161">
        <f>MIN($P$64:$AA$64)</f>
        <v>0</v>
      </c>
      <c r="K89" s="161">
        <f>MIN($P$65:$AA$65)</f>
        <v>0</v>
      </c>
      <c r="L89" s="156">
        <f>MIN($P$66:$AA$66)</f>
        <v>0</v>
      </c>
      <c r="M89" s="161">
        <f>MIN($P$67:$AA$67)</f>
        <v>0</v>
      </c>
      <c r="N89" s="161">
        <f>MIN($P$68:$AA$68)</f>
        <v>0</v>
      </c>
      <c r="O89" s="156">
        <f>MIN($P$69:$AA$69)</f>
        <v>0</v>
      </c>
      <c r="P89" s="156">
        <f>MIN($P$70:$AA$70)</f>
        <v>0</v>
      </c>
      <c r="Q89" s="156">
        <f>MIN($P$71:$AA$71)</f>
        <v>0</v>
      </c>
      <c r="R89" s="156">
        <f>MIN($P$72:$AA$72)</f>
        <v>0</v>
      </c>
      <c r="S89" s="156">
        <f>MIN($P$73:$AA$73)</f>
        <v>0</v>
      </c>
      <c r="T89" s="156">
        <f>MIN($P$74:$AA$74)</f>
        <v>0</v>
      </c>
      <c r="U89" s="156">
        <f>MIN($P$75:$AA$75)</f>
        <v>0</v>
      </c>
      <c r="V89" s="156">
        <f>MIN($P$76:$AA$76)</f>
        <v>0</v>
      </c>
      <c r="W89" s="156">
        <f>MIN($P$77:$AA$77)</f>
        <v>0</v>
      </c>
      <c r="X89" s="156">
        <f>MIN($P$78:$AA$78)</f>
        <v>0</v>
      </c>
      <c r="Y89" s="156">
        <f>MIN($P$79:$AA$79)</f>
        <v>0</v>
      </c>
      <c r="Z89" s="157">
        <f>MIN(P56:AA79)</f>
        <v>0</v>
      </c>
      <c r="AC89" s="28" t="s">
        <v>227</v>
      </c>
      <c r="AD89" s="81">
        <f>D63</f>
        <v>0</v>
      </c>
      <c r="AE89" s="81">
        <f>R63</f>
        <v>0</v>
      </c>
    </row>
    <row r="90" spans="1:33">
      <c r="A90" s="155" t="s">
        <v>772</v>
      </c>
      <c r="B90" s="162">
        <f>AVERAGE($P$56:$AA$56)</f>
        <v>0</v>
      </c>
      <c r="C90" s="163">
        <f>AVERAGE($P$57:$AA$57)</f>
        <v>0</v>
      </c>
      <c r="D90" s="163">
        <f>AVERAGE($P$58:$AA$58)</f>
        <v>0</v>
      </c>
      <c r="E90" s="163">
        <f>AVERAGE($P$59:$AA$59)</f>
        <v>0</v>
      </c>
      <c r="F90" s="163">
        <f>AVERAGE($P$60:$AA$60)</f>
        <v>0</v>
      </c>
      <c r="G90" s="163">
        <f>AVERAGE($P$61:$AA$61)</f>
        <v>0</v>
      </c>
      <c r="H90" s="163">
        <f>AVERAGE($P$62:$AA$62)</f>
        <v>0</v>
      </c>
      <c r="I90" s="162">
        <f>AVERAGE($P$63:$AA$63)</f>
        <v>0</v>
      </c>
      <c r="J90" s="158">
        <f>AVERAGE($P$64:$AA$64)</f>
        <v>0</v>
      </c>
      <c r="K90" s="158">
        <f>AVERAGE($P$65:$AA$65)</f>
        <v>0</v>
      </c>
      <c r="L90" s="158">
        <f>AVERAGE($P$66:$AA$66)</f>
        <v>0</v>
      </c>
      <c r="M90" s="158">
        <f>AVERAGE($P$67:$AA$67)</f>
        <v>0</v>
      </c>
      <c r="N90" s="158">
        <f>AVERAGE($P$68:$AA$68)</f>
        <v>0</v>
      </c>
      <c r="O90" s="163">
        <f>AVERAGE($P$69:$AA$69)</f>
        <v>0</v>
      </c>
      <c r="P90" s="163">
        <f>AVERAGE($P$70:$AA$70)</f>
        <v>0</v>
      </c>
      <c r="Q90" s="163">
        <f>AVERAGE($P$71:$AA$71)</f>
        <v>0</v>
      </c>
      <c r="R90" s="163">
        <f>AVERAGE($P$72:$AA$72)</f>
        <v>0</v>
      </c>
      <c r="S90" s="163">
        <f>AVERAGE($P$73:$AA$73)</f>
        <v>0</v>
      </c>
      <c r="T90" s="163">
        <f>AVERAGE($P$74:$AA$74)</f>
        <v>0</v>
      </c>
      <c r="U90" s="163">
        <f>AVERAGE($P$75:$AA$75)</f>
        <v>0</v>
      </c>
      <c r="V90" s="163">
        <f>AVERAGE($P$76:$AA$76)</f>
        <v>0</v>
      </c>
      <c r="W90" s="163">
        <f>AVERAGE($P$77:$AA$77)</f>
        <v>0</v>
      </c>
      <c r="X90" s="163">
        <f>AVERAGE($P$78:$AA$78)</f>
        <v>0</v>
      </c>
      <c r="Y90" s="163">
        <f>AVERAGE($P$79:$AA$79)</f>
        <v>0</v>
      </c>
      <c r="Z90" s="163">
        <f>AVERAGE(P56:AA79)</f>
        <v>0</v>
      </c>
      <c r="AC90" s="28" t="s">
        <v>228</v>
      </c>
      <c r="AD90" s="81">
        <f>E63</f>
        <v>0</v>
      </c>
      <c r="AE90" s="81">
        <f>S63</f>
        <v>0</v>
      </c>
    </row>
    <row r="91" spans="1:33">
      <c r="A91" s="155" t="s">
        <v>450</v>
      </c>
      <c r="B91" s="162">
        <f>MAX($P$56:$AA$56)</f>
        <v>0</v>
      </c>
      <c r="C91" s="163">
        <f>MAX($P$57:$AA$57)</f>
        <v>0</v>
      </c>
      <c r="D91" s="163">
        <f>MAX($P$58:$AA$58)</f>
        <v>0</v>
      </c>
      <c r="E91" s="163">
        <f>MAX($P$59:$AA$59)</f>
        <v>0</v>
      </c>
      <c r="F91" s="163">
        <f>MAX($P$60:$AA$60)</f>
        <v>0</v>
      </c>
      <c r="G91" s="163">
        <f>MAX($P$61:$AA$61)</f>
        <v>0</v>
      </c>
      <c r="H91" s="163">
        <f>MAX($P$62:$AA$62)</f>
        <v>0</v>
      </c>
      <c r="I91" s="162">
        <f>MAX($P$63:$AA$63)</f>
        <v>0</v>
      </c>
      <c r="J91" s="158">
        <f>MAX($P$64:$AA$64)</f>
        <v>0</v>
      </c>
      <c r="K91" s="158">
        <f>MAX($P$65:$AA$65)</f>
        <v>0</v>
      </c>
      <c r="L91" s="158">
        <f>MAX($P$66:$AA$66)</f>
        <v>0</v>
      </c>
      <c r="M91" s="158">
        <f>MAX($P$67:$AA$67)</f>
        <v>0</v>
      </c>
      <c r="N91" s="158">
        <f>MAX($P$68:$AA$68)</f>
        <v>0</v>
      </c>
      <c r="O91" s="163">
        <f>MAX($P$69:$AA$69)</f>
        <v>0</v>
      </c>
      <c r="P91" s="163">
        <f>MAX($P$70:$AA$70)</f>
        <v>0</v>
      </c>
      <c r="Q91" s="163">
        <f>MAX($P$71:$AA$71)</f>
        <v>0</v>
      </c>
      <c r="R91" s="163">
        <f>MAX($P$72:$AA$72)</f>
        <v>0</v>
      </c>
      <c r="S91" s="163">
        <f>MAX($P$73:$AA$73)</f>
        <v>0</v>
      </c>
      <c r="T91" s="163">
        <f>MAX($P$74:$AA$74)</f>
        <v>0</v>
      </c>
      <c r="U91" s="163">
        <f>MAX($P$75:$AA$75)</f>
        <v>0</v>
      </c>
      <c r="V91" s="163">
        <f>MAX($P$76:$AA$76)</f>
        <v>0</v>
      </c>
      <c r="W91" s="163">
        <f>MAX($P$77:$AA$77)</f>
        <v>0</v>
      </c>
      <c r="X91" s="163">
        <f>MAX($P$78:$AA$78)</f>
        <v>0</v>
      </c>
      <c r="Y91" s="163">
        <f>MAX($P$79:$AA$79)</f>
        <v>0</v>
      </c>
      <c r="Z91" s="163">
        <f>MAX(P56:AA79)</f>
        <v>0</v>
      </c>
      <c r="AC91" s="28" t="s">
        <v>229</v>
      </c>
      <c r="AD91" s="81">
        <f>F63</f>
        <v>0</v>
      </c>
      <c r="AE91" s="81">
        <f>T63</f>
        <v>0</v>
      </c>
    </row>
    <row r="92" spans="1:33">
      <c r="B92" s="88"/>
      <c r="I92" s="88"/>
      <c r="J92" s="92"/>
      <c r="K92" s="92"/>
      <c r="L92" s="92"/>
      <c r="M92" s="92"/>
      <c r="N92" s="92"/>
      <c r="AC92" s="28" t="s">
        <v>230</v>
      </c>
      <c r="AD92" s="81">
        <f>G63</f>
        <v>0</v>
      </c>
      <c r="AE92" s="81">
        <f>U63</f>
        <v>0</v>
      </c>
    </row>
    <row r="93" spans="1:33">
      <c r="B93" s="88"/>
      <c r="I93" s="88"/>
      <c r="J93" s="92"/>
      <c r="K93" s="92"/>
      <c r="L93" s="92"/>
      <c r="M93" s="92"/>
      <c r="N93" s="92"/>
      <c r="AC93" s="28" t="s">
        <v>231</v>
      </c>
      <c r="AD93" s="81">
        <f>H63</f>
        <v>0</v>
      </c>
      <c r="AE93" s="81">
        <f>V63</f>
        <v>0</v>
      </c>
    </row>
    <row r="94" spans="1:33">
      <c r="B94" s="88"/>
      <c r="I94" s="88"/>
      <c r="J94" s="92"/>
      <c r="K94" s="92"/>
      <c r="L94" s="92"/>
      <c r="M94" s="92"/>
      <c r="N94" s="92"/>
      <c r="AC94" s="28" t="s">
        <v>232</v>
      </c>
      <c r="AD94" s="80">
        <f>I63</f>
        <v>0</v>
      </c>
      <c r="AE94" s="81">
        <f>W63</f>
        <v>0</v>
      </c>
    </row>
    <row r="95" spans="1:33">
      <c r="B95" s="88"/>
      <c r="I95" s="88"/>
      <c r="J95" s="92"/>
      <c r="K95" s="92"/>
      <c r="L95" s="92"/>
      <c r="M95" s="92"/>
      <c r="N95" s="92"/>
      <c r="AC95" s="28" t="s">
        <v>233</v>
      </c>
      <c r="AD95" s="81">
        <f>J63</f>
        <v>0</v>
      </c>
      <c r="AE95" s="81">
        <f>X63</f>
        <v>0</v>
      </c>
    </row>
    <row r="96" spans="1:33">
      <c r="B96" s="88"/>
      <c r="I96" s="88"/>
      <c r="J96" s="92"/>
      <c r="K96" s="92"/>
      <c r="L96" s="92"/>
      <c r="M96" s="92"/>
      <c r="N96" s="92"/>
      <c r="AC96" s="28" t="s">
        <v>234</v>
      </c>
      <c r="AD96" s="81">
        <f>K63</f>
        <v>0</v>
      </c>
      <c r="AE96" s="81">
        <f>Y63</f>
        <v>0</v>
      </c>
    </row>
    <row r="97" spans="2:33">
      <c r="B97" s="88"/>
      <c r="I97" s="88"/>
      <c r="J97" s="92"/>
      <c r="K97" s="92"/>
      <c r="L97" s="92"/>
      <c r="M97" s="92"/>
      <c r="N97" s="92"/>
      <c r="AC97" s="28" t="s">
        <v>235</v>
      </c>
      <c r="AD97" s="81">
        <f>L63</f>
        <v>0</v>
      </c>
      <c r="AE97" s="81">
        <f>Z63</f>
        <v>0</v>
      </c>
    </row>
    <row r="98" spans="2:33">
      <c r="B98" s="88"/>
      <c r="I98" s="88"/>
      <c r="J98" s="92"/>
      <c r="K98" s="92"/>
      <c r="L98" s="92"/>
      <c r="M98" s="92"/>
      <c r="N98" s="92"/>
      <c r="AC98" s="28" t="s">
        <v>236</v>
      </c>
      <c r="AD98" s="81">
        <f>M63</f>
        <v>0</v>
      </c>
      <c r="AE98" s="81">
        <f>AA63</f>
        <v>0</v>
      </c>
      <c r="AF98" s="79"/>
      <c r="AG98" s="79"/>
    </row>
    <row r="99" spans="2:33">
      <c r="B99" s="88"/>
      <c r="I99" s="88"/>
      <c r="J99" s="92"/>
      <c r="K99" s="92"/>
      <c r="L99" s="92"/>
      <c r="M99" s="92"/>
      <c r="N99" s="92"/>
      <c r="AC99" s="65" t="s">
        <v>237</v>
      </c>
      <c r="AD99" s="66">
        <f>B64</f>
        <v>0</v>
      </c>
      <c r="AE99" s="66">
        <f>P64</f>
        <v>0</v>
      </c>
    </row>
    <row r="100" spans="2:33">
      <c r="B100" s="88"/>
      <c r="I100" s="88"/>
      <c r="J100" s="92"/>
      <c r="K100" s="92"/>
      <c r="L100" s="92"/>
      <c r="M100" s="92"/>
      <c r="N100" s="92"/>
      <c r="AC100" s="65" t="s">
        <v>238</v>
      </c>
      <c r="AD100" s="66">
        <f>C64</f>
        <v>0</v>
      </c>
      <c r="AE100" s="66">
        <f>Q64</f>
        <v>0</v>
      </c>
    </row>
    <row r="101" spans="2:33">
      <c r="B101" s="88"/>
      <c r="I101" s="88"/>
      <c r="J101" s="92"/>
      <c r="K101" s="92"/>
      <c r="L101" s="92"/>
      <c r="M101" s="92"/>
      <c r="N101" s="92"/>
      <c r="AC101" s="65" t="s">
        <v>239</v>
      </c>
      <c r="AD101" s="66">
        <f>D64</f>
        <v>0</v>
      </c>
      <c r="AE101" s="66">
        <f>R64</f>
        <v>0</v>
      </c>
    </row>
    <row r="102" spans="2:33">
      <c r="B102" s="88"/>
      <c r="I102" s="88"/>
      <c r="J102" s="92"/>
      <c r="K102" s="92"/>
      <c r="L102" s="92"/>
      <c r="M102" s="92"/>
      <c r="N102" s="92"/>
      <c r="AC102" s="65" t="s">
        <v>240</v>
      </c>
      <c r="AD102" s="66">
        <f>E64</f>
        <v>0</v>
      </c>
      <c r="AE102" s="66">
        <f>S64</f>
        <v>0</v>
      </c>
    </row>
    <row r="103" spans="2:33">
      <c r="B103" s="88"/>
      <c r="I103" s="88"/>
      <c r="J103" s="92"/>
      <c r="K103" s="92"/>
      <c r="L103" s="92"/>
      <c r="M103" s="92"/>
      <c r="N103" s="92"/>
      <c r="AC103" s="65" t="s">
        <v>241</v>
      </c>
      <c r="AD103" s="72">
        <f>F64</f>
        <v>0</v>
      </c>
      <c r="AE103" s="66">
        <f>T64</f>
        <v>0</v>
      </c>
    </row>
    <row r="104" spans="2:33">
      <c r="B104" s="88"/>
      <c r="I104" s="88"/>
      <c r="J104" s="92"/>
      <c r="K104" s="92"/>
      <c r="L104" s="92"/>
      <c r="M104" s="92"/>
      <c r="N104" s="92"/>
      <c r="AC104" s="65" t="s">
        <v>242</v>
      </c>
      <c r="AD104" s="66">
        <f>G64</f>
        <v>0</v>
      </c>
      <c r="AE104" s="66">
        <f>U64</f>
        <v>0</v>
      </c>
    </row>
    <row r="105" spans="2:33">
      <c r="B105" s="88"/>
      <c r="I105" s="88"/>
      <c r="J105" s="92"/>
      <c r="K105" s="92"/>
      <c r="L105" s="92"/>
      <c r="M105" s="92"/>
      <c r="N105" s="92"/>
      <c r="AC105" s="65" t="s">
        <v>243</v>
      </c>
      <c r="AD105" s="66">
        <f>H64</f>
        <v>0</v>
      </c>
      <c r="AE105" s="66">
        <f>V64</f>
        <v>0</v>
      </c>
    </row>
    <row r="106" spans="2:33">
      <c r="I106" s="88"/>
      <c r="J106" s="92"/>
      <c r="K106" s="92"/>
      <c r="L106" s="92"/>
      <c r="M106" s="92"/>
      <c r="N106" s="92"/>
      <c r="AC106" s="65" t="s">
        <v>244</v>
      </c>
      <c r="AD106" s="66">
        <f>I64</f>
        <v>0</v>
      </c>
      <c r="AE106" s="66">
        <f>W64</f>
        <v>0</v>
      </c>
    </row>
    <row r="107" spans="2:33">
      <c r="AC107" s="65" t="s">
        <v>245</v>
      </c>
      <c r="AD107" s="66">
        <f>J64</f>
        <v>0</v>
      </c>
      <c r="AE107" s="66">
        <f>X64</f>
        <v>0</v>
      </c>
    </row>
    <row r="108" spans="2:33">
      <c r="AC108" s="65" t="s">
        <v>246</v>
      </c>
      <c r="AD108" s="66">
        <f>K64</f>
        <v>0</v>
      </c>
      <c r="AE108" s="66">
        <f>Y64</f>
        <v>0</v>
      </c>
    </row>
    <row r="109" spans="2:33">
      <c r="AC109" s="65" t="s">
        <v>247</v>
      </c>
      <c r="AD109" s="66">
        <f>L64</f>
        <v>0</v>
      </c>
      <c r="AE109" s="66">
        <f>Z64</f>
        <v>0</v>
      </c>
    </row>
    <row r="110" spans="2:33">
      <c r="AC110" s="65" t="s">
        <v>248</v>
      </c>
      <c r="AD110" s="66">
        <f>M64</f>
        <v>0</v>
      </c>
      <c r="AE110" s="66">
        <f>AA64</f>
        <v>0</v>
      </c>
      <c r="AF110" s="79"/>
      <c r="AG110" s="79"/>
    </row>
    <row r="111" spans="2:33">
      <c r="AC111" s="28" t="s">
        <v>249</v>
      </c>
      <c r="AD111" s="81">
        <f>B65</f>
        <v>0</v>
      </c>
      <c r="AE111" s="81">
        <f>P65</f>
        <v>0</v>
      </c>
    </row>
    <row r="112" spans="2:33">
      <c r="AC112" s="28" t="s">
        <v>250</v>
      </c>
      <c r="AD112" s="81">
        <f>C65</f>
        <v>0</v>
      </c>
      <c r="AE112" s="81">
        <f>Q65</f>
        <v>0</v>
      </c>
    </row>
    <row r="113" spans="29:33">
      <c r="AC113" s="28" t="s">
        <v>251</v>
      </c>
      <c r="AD113" s="81">
        <f>D65</f>
        <v>0</v>
      </c>
      <c r="AE113" s="81">
        <f>R65</f>
        <v>0</v>
      </c>
    </row>
    <row r="114" spans="29:33">
      <c r="AC114" s="28" t="s">
        <v>252</v>
      </c>
      <c r="AD114" s="80">
        <f>E65</f>
        <v>0</v>
      </c>
      <c r="AE114" s="81">
        <f>S65</f>
        <v>0</v>
      </c>
    </row>
    <row r="115" spans="29:33">
      <c r="AC115" s="28" t="s">
        <v>253</v>
      </c>
      <c r="AD115" s="81">
        <f>F65</f>
        <v>0</v>
      </c>
      <c r="AE115" s="81">
        <f>T65</f>
        <v>0</v>
      </c>
    </row>
    <row r="116" spans="29:33">
      <c r="AC116" s="28" t="s">
        <v>254</v>
      </c>
      <c r="AD116" s="81">
        <f>G65</f>
        <v>0</v>
      </c>
      <c r="AE116" s="81">
        <f>U65</f>
        <v>0</v>
      </c>
    </row>
    <row r="117" spans="29:33">
      <c r="AC117" s="28" t="s">
        <v>255</v>
      </c>
      <c r="AD117" s="80">
        <f>H65</f>
        <v>0</v>
      </c>
      <c r="AE117" s="81">
        <f>V65</f>
        <v>0</v>
      </c>
    </row>
    <row r="118" spans="29:33">
      <c r="AC118" s="28" t="s">
        <v>256</v>
      </c>
      <c r="AD118" s="81">
        <f>I65</f>
        <v>0</v>
      </c>
      <c r="AE118" s="81">
        <f>W65</f>
        <v>0</v>
      </c>
    </row>
    <row r="119" spans="29:33">
      <c r="AC119" s="28" t="s">
        <v>257</v>
      </c>
      <c r="AD119" s="81">
        <f>J65</f>
        <v>0</v>
      </c>
      <c r="AE119" s="81">
        <f>X65</f>
        <v>0</v>
      </c>
    </row>
    <row r="120" spans="29:33">
      <c r="AC120" s="28" t="s">
        <v>258</v>
      </c>
      <c r="AD120" s="81">
        <f>K65</f>
        <v>0</v>
      </c>
      <c r="AE120" s="81">
        <f>Y65</f>
        <v>0</v>
      </c>
    </row>
    <row r="121" spans="29:33">
      <c r="AC121" s="28" t="s">
        <v>259</v>
      </c>
      <c r="AD121" s="81">
        <f>L65</f>
        <v>0</v>
      </c>
      <c r="AE121" s="81">
        <f>Z65</f>
        <v>0</v>
      </c>
    </row>
    <row r="122" spans="29:33">
      <c r="AC122" s="28" t="s">
        <v>260</v>
      </c>
      <c r="AD122" s="81">
        <f>M65</f>
        <v>0</v>
      </c>
      <c r="AE122" s="81">
        <f>AA65</f>
        <v>0</v>
      </c>
      <c r="AF122" s="79"/>
      <c r="AG122" s="79"/>
    </row>
    <row r="123" spans="29:33">
      <c r="AC123" s="65" t="s">
        <v>261</v>
      </c>
      <c r="AD123" s="66">
        <f>B66</f>
        <v>0</v>
      </c>
      <c r="AE123" s="66">
        <f>P66</f>
        <v>0</v>
      </c>
    </row>
    <row r="124" spans="29:33">
      <c r="AC124" s="65" t="s">
        <v>262</v>
      </c>
      <c r="AD124" s="66">
        <f>C66</f>
        <v>0</v>
      </c>
      <c r="AE124" s="66">
        <f>Q66</f>
        <v>0</v>
      </c>
    </row>
    <row r="125" spans="29:33">
      <c r="AC125" s="65" t="s">
        <v>263</v>
      </c>
      <c r="AD125" s="66">
        <f>D66</f>
        <v>0</v>
      </c>
      <c r="AE125" s="66">
        <f>R66</f>
        <v>0</v>
      </c>
    </row>
    <row r="126" spans="29:33">
      <c r="AC126" s="65" t="s">
        <v>264</v>
      </c>
      <c r="AD126" s="66">
        <f>E66</f>
        <v>0</v>
      </c>
      <c r="AE126" s="66">
        <f>S66</f>
        <v>0</v>
      </c>
    </row>
    <row r="127" spans="29:33">
      <c r="AC127" s="65" t="s">
        <v>265</v>
      </c>
      <c r="AD127" s="66">
        <f>F66</f>
        <v>0</v>
      </c>
      <c r="AE127" s="66">
        <f>T66</f>
        <v>0</v>
      </c>
    </row>
    <row r="128" spans="29:33">
      <c r="AC128" s="65" t="s">
        <v>266</v>
      </c>
      <c r="AD128" s="66">
        <f>G66</f>
        <v>0</v>
      </c>
      <c r="AE128" s="66">
        <f>U66</f>
        <v>0</v>
      </c>
    </row>
    <row r="129" spans="29:33">
      <c r="AC129" s="65" t="s">
        <v>267</v>
      </c>
      <c r="AD129" s="66">
        <f>H66</f>
        <v>0</v>
      </c>
      <c r="AE129" s="66">
        <f>V66</f>
        <v>0</v>
      </c>
    </row>
    <row r="130" spans="29:33">
      <c r="AC130" s="65" t="s">
        <v>268</v>
      </c>
      <c r="AD130" s="66">
        <f>I66</f>
        <v>0</v>
      </c>
      <c r="AE130" s="66">
        <f>W66</f>
        <v>0</v>
      </c>
    </row>
    <row r="131" spans="29:33">
      <c r="AC131" s="65" t="s">
        <v>269</v>
      </c>
      <c r="AD131" s="66">
        <f>J66</f>
        <v>0</v>
      </c>
      <c r="AE131" s="66">
        <f>X66</f>
        <v>0</v>
      </c>
    </row>
    <row r="132" spans="29:33">
      <c r="AC132" s="65" t="s">
        <v>270</v>
      </c>
      <c r="AD132" s="66">
        <f>K66</f>
        <v>0</v>
      </c>
      <c r="AE132" s="66">
        <f>Y66</f>
        <v>0</v>
      </c>
    </row>
    <row r="133" spans="29:33">
      <c r="AC133" s="65" t="s">
        <v>271</v>
      </c>
      <c r="AD133" s="66">
        <f>L66</f>
        <v>0</v>
      </c>
      <c r="AE133" s="66">
        <f>Z66</f>
        <v>0</v>
      </c>
    </row>
    <row r="134" spans="29:33">
      <c r="AC134" s="65" t="s">
        <v>272</v>
      </c>
      <c r="AD134" s="66">
        <f>M66</f>
        <v>0</v>
      </c>
      <c r="AE134" s="66">
        <f>AA66</f>
        <v>0</v>
      </c>
      <c r="AF134" s="79"/>
      <c r="AG134" s="79"/>
    </row>
    <row r="135" spans="29:33">
      <c r="AC135" s="28" t="s">
        <v>273</v>
      </c>
      <c r="AD135" s="81">
        <f>B67</f>
        <v>0</v>
      </c>
      <c r="AE135" s="81">
        <f>P67</f>
        <v>0</v>
      </c>
    </row>
    <row r="136" spans="29:33">
      <c r="AC136" s="28" t="s">
        <v>274</v>
      </c>
      <c r="AD136" s="81">
        <f>C67</f>
        <v>0</v>
      </c>
      <c r="AE136" s="81">
        <f>Q67</f>
        <v>0</v>
      </c>
    </row>
    <row r="137" spans="29:33">
      <c r="AC137" s="28" t="s">
        <v>275</v>
      </c>
      <c r="AD137" s="81">
        <f>D67</f>
        <v>0</v>
      </c>
      <c r="AE137" s="81">
        <f>R67</f>
        <v>0</v>
      </c>
    </row>
    <row r="138" spans="29:33">
      <c r="AC138" s="28" t="s">
        <v>276</v>
      </c>
      <c r="AD138" s="81">
        <f>E67</f>
        <v>0</v>
      </c>
      <c r="AE138" s="81">
        <f>S67</f>
        <v>0</v>
      </c>
    </row>
    <row r="139" spans="29:33">
      <c r="AC139" s="28" t="s">
        <v>277</v>
      </c>
      <c r="AD139" s="81">
        <f>F67</f>
        <v>0</v>
      </c>
      <c r="AE139" s="81">
        <f>T67</f>
        <v>0</v>
      </c>
    </row>
    <row r="140" spans="29:33">
      <c r="AC140" s="28" t="s">
        <v>278</v>
      </c>
      <c r="AD140" s="81">
        <f>G67</f>
        <v>0</v>
      </c>
      <c r="AE140" s="81">
        <f>U67</f>
        <v>0</v>
      </c>
    </row>
    <row r="141" spans="29:33">
      <c r="AC141" s="28" t="s">
        <v>279</v>
      </c>
      <c r="AD141" s="81">
        <f>H67</f>
        <v>0</v>
      </c>
      <c r="AE141" s="81">
        <f>V67</f>
        <v>0</v>
      </c>
    </row>
    <row r="142" spans="29:33">
      <c r="AC142" s="28" t="s">
        <v>280</v>
      </c>
      <c r="AD142" s="81">
        <f>I67</f>
        <v>0</v>
      </c>
      <c r="AE142" s="81">
        <f>W67</f>
        <v>0</v>
      </c>
    </row>
    <row r="143" spans="29:33">
      <c r="AC143" s="28" t="s">
        <v>281</v>
      </c>
      <c r="AD143" s="81">
        <f>J67</f>
        <v>0</v>
      </c>
      <c r="AE143" s="81">
        <f>X67</f>
        <v>0</v>
      </c>
    </row>
    <row r="144" spans="29:33">
      <c r="AC144" s="28" t="s">
        <v>282</v>
      </c>
      <c r="AD144" s="81">
        <f>K67</f>
        <v>0</v>
      </c>
      <c r="AE144" s="81">
        <f>Y67</f>
        <v>0</v>
      </c>
    </row>
    <row r="145" spans="29:33">
      <c r="AC145" s="28" t="s">
        <v>283</v>
      </c>
      <c r="AD145" s="81">
        <f>L67</f>
        <v>0</v>
      </c>
      <c r="AE145" s="81">
        <f>Z67</f>
        <v>0</v>
      </c>
    </row>
    <row r="146" spans="29:33">
      <c r="AC146" s="28" t="s">
        <v>284</v>
      </c>
      <c r="AD146" s="81">
        <f>M67</f>
        <v>0</v>
      </c>
      <c r="AE146" s="81">
        <f>AA67</f>
        <v>0</v>
      </c>
      <c r="AF146" s="79"/>
      <c r="AG146" s="79"/>
    </row>
    <row r="147" spans="29:33">
      <c r="AC147" s="65" t="s">
        <v>285</v>
      </c>
      <c r="AD147" s="66">
        <f>B68</f>
        <v>0</v>
      </c>
      <c r="AE147" s="66">
        <f>P68</f>
        <v>0</v>
      </c>
    </row>
    <row r="148" spans="29:33">
      <c r="AC148" s="65" t="s">
        <v>286</v>
      </c>
      <c r="AD148" s="66">
        <f>C68</f>
        <v>0</v>
      </c>
      <c r="AE148" s="66">
        <f>Q68</f>
        <v>0</v>
      </c>
    </row>
    <row r="149" spans="29:33">
      <c r="AC149" s="65" t="s">
        <v>287</v>
      </c>
      <c r="AD149" s="66">
        <f>D68</f>
        <v>0</v>
      </c>
      <c r="AE149" s="66">
        <f>R68</f>
        <v>0</v>
      </c>
    </row>
    <row r="150" spans="29:33">
      <c r="AC150" s="65" t="s">
        <v>288</v>
      </c>
      <c r="AD150" s="66">
        <f>E68</f>
        <v>0</v>
      </c>
      <c r="AE150" s="66">
        <f>S68</f>
        <v>0</v>
      </c>
    </row>
    <row r="151" spans="29:33">
      <c r="AC151" s="65" t="s">
        <v>289</v>
      </c>
      <c r="AD151" s="66">
        <f>F68</f>
        <v>0</v>
      </c>
      <c r="AE151" s="66">
        <f>T68</f>
        <v>0</v>
      </c>
    </row>
    <row r="152" spans="29:33">
      <c r="AC152" s="65" t="s">
        <v>290</v>
      </c>
      <c r="AD152" s="66">
        <f>G68</f>
        <v>0</v>
      </c>
      <c r="AE152" s="66">
        <f>U68</f>
        <v>0</v>
      </c>
    </row>
    <row r="153" spans="29:33">
      <c r="AC153" s="65" t="s">
        <v>291</v>
      </c>
      <c r="AD153" s="66">
        <f>H68</f>
        <v>0</v>
      </c>
      <c r="AE153" s="66">
        <f>V68</f>
        <v>0</v>
      </c>
    </row>
    <row r="154" spans="29:33">
      <c r="AC154" s="65" t="s">
        <v>292</v>
      </c>
      <c r="AD154" s="66">
        <f>I68</f>
        <v>0</v>
      </c>
      <c r="AE154" s="73">
        <f>W68</f>
        <v>0</v>
      </c>
    </row>
    <row r="155" spans="29:33">
      <c r="AC155" s="65" t="s">
        <v>293</v>
      </c>
      <c r="AD155" s="93">
        <f>J68</f>
        <v>0</v>
      </c>
      <c r="AE155" s="66">
        <f>X68</f>
        <v>0</v>
      </c>
    </row>
    <row r="156" spans="29:33">
      <c r="AC156" s="65" t="s">
        <v>294</v>
      </c>
      <c r="AD156" s="66">
        <f>K68</f>
        <v>0</v>
      </c>
      <c r="AE156" s="66">
        <f>Y68</f>
        <v>0</v>
      </c>
    </row>
    <row r="157" spans="29:33">
      <c r="AC157" s="65" t="s">
        <v>295</v>
      </c>
      <c r="AD157" s="66">
        <f>L68</f>
        <v>0</v>
      </c>
      <c r="AE157" s="66">
        <f>Z68</f>
        <v>0</v>
      </c>
    </row>
    <row r="158" spans="29:33">
      <c r="AC158" s="65" t="s">
        <v>296</v>
      </c>
      <c r="AD158" s="66">
        <f>M68</f>
        <v>0</v>
      </c>
      <c r="AE158" s="73">
        <f>AA68</f>
        <v>0</v>
      </c>
      <c r="AF158" s="79"/>
      <c r="AG158" s="79"/>
    </row>
    <row r="159" spans="29:33">
      <c r="AC159" s="28" t="s">
        <v>297</v>
      </c>
      <c r="AD159" s="81">
        <f>B69</f>
        <v>0</v>
      </c>
      <c r="AE159" s="81">
        <f>P69</f>
        <v>0</v>
      </c>
    </row>
    <row r="160" spans="29:33">
      <c r="AC160" s="28" t="s">
        <v>298</v>
      </c>
      <c r="AD160" s="81">
        <f>C69</f>
        <v>0</v>
      </c>
      <c r="AE160" s="81">
        <f>Q69</f>
        <v>0</v>
      </c>
    </row>
    <row r="161" spans="29:33">
      <c r="AC161" s="28" t="s">
        <v>299</v>
      </c>
      <c r="AD161" s="81">
        <f>D69</f>
        <v>0</v>
      </c>
      <c r="AE161" s="81">
        <f>R69</f>
        <v>0</v>
      </c>
    </row>
    <row r="162" spans="29:33">
      <c r="AC162" s="28" t="s">
        <v>300</v>
      </c>
      <c r="AD162" s="81">
        <f>E69</f>
        <v>0</v>
      </c>
      <c r="AE162" s="81">
        <f>S69</f>
        <v>0</v>
      </c>
    </row>
    <row r="163" spans="29:33">
      <c r="AC163" s="28" t="s">
        <v>301</v>
      </c>
      <c r="AD163" s="81">
        <f>F69</f>
        <v>0</v>
      </c>
      <c r="AE163" s="81">
        <f>T69</f>
        <v>0</v>
      </c>
    </row>
    <row r="164" spans="29:33">
      <c r="AC164" s="28" t="s">
        <v>302</v>
      </c>
      <c r="AD164" s="81">
        <f>G69</f>
        <v>0</v>
      </c>
      <c r="AE164" s="81">
        <f>U69</f>
        <v>0</v>
      </c>
    </row>
    <row r="165" spans="29:33">
      <c r="AC165" s="28" t="s">
        <v>303</v>
      </c>
      <c r="AD165" s="81">
        <f>H69</f>
        <v>0</v>
      </c>
      <c r="AE165" s="81">
        <f>V69</f>
        <v>0</v>
      </c>
    </row>
    <row r="166" spans="29:33">
      <c r="AC166" s="28" t="s">
        <v>304</v>
      </c>
      <c r="AD166" s="81">
        <f>I69</f>
        <v>0</v>
      </c>
      <c r="AE166" s="81">
        <f>W69</f>
        <v>0</v>
      </c>
    </row>
    <row r="167" spans="29:33">
      <c r="AC167" s="28" t="s">
        <v>305</v>
      </c>
      <c r="AD167" s="81">
        <f>J69</f>
        <v>0</v>
      </c>
      <c r="AE167" s="81">
        <f>X69</f>
        <v>0</v>
      </c>
    </row>
    <row r="168" spans="29:33">
      <c r="AC168" s="28" t="s">
        <v>306</v>
      </c>
      <c r="AD168" s="81">
        <f>K69</f>
        <v>0</v>
      </c>
      <c r="AE168" s="81">
        <f>Y69</f>
        <v>0</v>
      </c>
    </row>
    <row r="169" spans="29:33">
      <c r="AC169" s="28" t="s">
        <v>307</v>
      </c>
      <c r="AD169" s="81">
        <f>L69</f>
        <v>0</v>
      </c>
      <c r="AE169" s="81">
        <f>Z69</f>
        <v>0</v>
      </c>
    </row>
    <row r="170" spans="29:33">
      <c r="AC170" s="28" t="s">
        <v>308</v>
      </c>
      <c r="AD170" s="81">
        <f>M69</f>
        <v>0</v>
      </c>
      <c r="AE170" s="81">
        <f>AA69</f>
        <v>0</v>
      </c>
      <c r="AF170" s="79"/>
      <c r="AG170" s="79"/>
    </row>
    <row r="171" spans="29:33">
      <c r="AC171" s="65" t="s">
        <v>309</v>
      </c>
      <c r="AD171" s="66">
        <f>B70</f>
        <v>0</v>
      </c>
      <c r="AE171" s="66">
        <f>P70</f>
        <v>0</v>
      </c>
    </row>
    <row r="172" spans="29:33">
      <c r="AC172" s="65" t="s">
        <v>310</v>
      </c>
      <c r="AD172" s="66">
        <f>C70</f>
        <v>0</v>
      </c>
      <c r="AE172" s="66">
        <f>Q70</f>
        <v>0</v>
      </c>
    </row>
    <row r="173" spans="29:33">
      <c r="AC173" s="65" t="s">
        <v>311</v>
      </c>
      <c r="AD173" s="66">
        <f>D70</f>
        <v>0</v>
      </c>
      <c r="AE173" s="66">
        <f>R70</f>
        <v>0</v>
      </c>
    </row>
    <row r="174" spans="29:33">
      <c r="AC174" s="65" t="s">
        <v>312</v>
      </c>
      <c r="AD174" s="66">
        <f>E70</f>
        <v>0</v>
      </c>
      <c r="AE174" s="66">
        <f>S70</f>
        <v>0</v>
      </c>
    </row>
    <row r="175" spans="29:33">
      <c r="AC175" s="65" t="s">
        <v>313</v>
      </c>
      <c r="AD175" s="66">
        <f>F70</f>
        <v>0</v>
      </c>
      <c r="AE175" s="66">
        <f>T70</f>
        <v>0</v>
      </c>
    </row>
    <row r="176" spans="29:33">
      <c r="AC176" s="65" t="s">
        <v>314</v>
      </c>
      <c r="AD176" s="66">
        <f>G70</f>
        <v>0</v>
      </c>
      <c r="AE176" s="66">
        <f>U70</f>
        <v>0</v>
      </c>
    </row>
    <row r="177" spans="29:33">
      <c r="AC177" s="65" t="s">
        <v>315</v>
      </c>
      <c r="AD177" s="66">
        <f>H70</f>
        <v>0</v>
      </c>
      <c r="AE177" s="66">
        <f>V70</f>
        <v>0</v>
      </c>
    </row>
    <row r="178" spans="29:33">
      <c r="AC178" s="65" t="s">
        <v>316</v>
      </c>
      <c r="AD178" s="66">
        <f>I70</f>
        <v>0</v>
      </c>
      <c r="AE178" s="66">
        <f>W70</f>
        <v>0</v>
      </c>
    </row>
    <row r="179" spans="29:33">
      <c r="AC179" s="65" t="s">
        <v>317</v>
      </c>
      <c r="AD179" s="66">
        <f>J70</f>
        <v>0</v>
      </c>
      <c r="AE179" s="66">
        <f>X70</f>
        <v>0</v>
      </c>
    </row>
    <row r="180" spans="29:33">
      <c r="AC180" s="65" t="s">
        <v>318</v>
      </c>
      <c r="AD180" s="66">
        <f>K70</f>
        <v>0</v>
      </c>
      <c r="AE180" s="66">
        <f>Y70</f>
        <v>0</v>
      </c>
    </row>
    <row r="181" spans="29:33">
      <c r="AC181" s="65" t="s">
        <v>319</v>
      </c>
      <c r="AD181" s="66">
        <f>L70</f>
        <v>0</v>
      </c>
      <c r="AE181" s="66">
        <f>Z70</f>
        <v>0</v>
      </c>
    </row>
    <row r="182" spans="29:33">
      <c r="AC182" s="65" t="s">
        <v>320</v>
      </c>
      <c r="AD182" s="66">
        <f>M70</f>
        <v>0</v>
      </c>
      <c r="AE182" s="66">
        <f>AA70</f>
        <v>0</v>
      </c>
      <c r="AF182" s="79"/>
      <c r="AG182" s="79"/>
    </row>
    <row r="183" spans="29:33">
      <c r="AC183" s="28" t="s">
        <v>321</v>
      </c>
      <c r="AD183" s="81">
        <f>B71</f>
        <v>0</v>
      </c>
      <c r="AE183" s="94">
        <f>P71</f>
        <v>0</v>
      </c>
    </row>
    <row r="184" spans="29:33">
      <c r="AC184" s="28" t="s">
        <v>322</v>
      </c>
      <c r="AD184" s="81">
        <f>C71</f>
        <v>0</v>
      </c>
      <c r="AE184" s="81">
        <f>Q71</f>
        <v>0</v>
      </c>
    </row>
    <row r="185" spans="29:33">
      <c r="AC185" s="28" t="s">
        <v>323</v>
      </c>
      <c r="AD185" s="81">
        <f>D71</f>
        <v>0</v>
      </c>
      <c r="AE185" s="81">
        <f>R71</f>
        <v>0</v>
      </c>
    </row>
    <row r="186" spans="29:33">
      <c r="AC186" s="28" t="s">
        <v>324</v>
      </c>
      <c r="AD186" s="81">
        <f>E71</f>
        <v>0</v>
      </c>
      <c r="AE186" s="81">
        <f>S71</f>
        <v>0</v>
      </c>
    </row>
    <row r="187" spans="29:33">
      <c r="AC187" s="28" t="s">
        <v>325</v>
      </c>
      <c r="AD187" s="81">
        <f>F71</f>
        <v>0</v>
      </c>
      <c r="AE187" s="81">
        <f>T71</f>
        <v>0</v>
      </c>
    </row>
    <row r="188" spans="29:33">
      <c r="AC188" s="28" t="s">
        <v>326</v>
      </c>
      <c r="AD188" s="81">
        <f>G71</f>
        <v>0</v>
      </c>
      <c r="AE188" s="81">
        <f>U71</f>
        <v>0</v>
      </c>
    </row>
    <row r="189" spans="29:33">
      <c r="AC189" s="28" t="s">
        <v>327</v>
      </c>
      <c r="AD189" s="81">
        <f>H71</f>
        <v>0</v>
      </c>
      <c r="AE189" s="81">
        <f>V71</f>
        <v>0</v>
      </c>
    </row>
    <row r="190" spans="29:33">
      <c r="AC190" s="28" t="s">
        <v>328</v>
      </c>
      <c r="AD190" s="81">
        <f>I71</f>
        <v>0</v>
      </c>
      <c r="AE190" s="81">
        <f>W71</f>
        <v>0</v>
      </c>
    </row>
    <row r="191" spans="29:33">
      <c r="AC191" s="28" t="s">
        <v>329</v>
      </c>
      <c r="AD191" s="81">
        <f>J71</f>
        <v>0</v>
      </c>
      <c r="AE191" s="81">
        <f>X71</f>
        <v>0</v>
      </c>
    </row>
    <row r="192" spans="29:33">
      <c r="AC192" s="28" t="s">
        <v>330</v>
      </c>
      <c r="AD192" s="81">
        <f>K71</f>
        <v>0</v>
      </c>
      <c r="AE192" s="81">
        <f>Y71</f>
        <v>0</v>
      </c>
    </row>
    <row r="193" spans="29:33">
      <c r="AC193" s="28" t="s">
        <v>331</v>
      </c>
      <c r="AD193" s="81">
        <f>L71</f>
        <v>0</v>
      </c>
      <c r="AE193" s="81">
        <f>Z71</f>
        <v>0</v>
      </c>
    </row>
    <row r="194" spans="29:33">
      <c r="AC194" s="28" t="s">
        <v>332</v>
      </c>
      <c r="AD194" s="81">
        <f>M71</f>
        <v>0</v>
      </c>
      <c r="AE194" s="81">
        <f>AA71</f>
        <v>0</v>
      </c>
      <c r="AF194" s="79"/>
      <c r="AG194" s="79"/>
    </row>
    <row r="195" spans="29:33">
      <c r="AC195" s="65" t="s">
        <v>333</v>
      </c>
      <c r="AD195" s="66">
        <f>B72</f>
        <v>0</v>
      </c>
      <c r="AE195" s="66">
        <f>P72</f>
        <v>0</v>
      </c>
    </row>
    <row r="196" spans="29:33">
      <c r="AC196" s="65" t="s">
        <v>334</v>
      </c>
      <c r="AD196" s="66">
        <f>C72</f>
        <v>0</v>
      </c>
      <c r="AE196" s="66">
        <f>Q72</f>
        <v>0</v>
      </c>
    </row>
    <row r="197" spans="29:33">
      <c r="AC197" s="65" t="s">
        <v>335</v>
      </c>
      <c r="AD197" s="66">
        <f>D72</f>
        <v>0</v>
      </c>
      <c r="AE197" s="66">
        <f>R72</f>
        <v>0</v>
      </c>
    </row>
    <row r="198" spans="29:33">
      <c r="AC198" s="65" t="s">
        <v>336</v>
      </c>
      <c r="AD198" s="66">
        <f>E72</f>
        <v>0</v>
      </c>
      <c r="AE198" s="66">
        <f>S72</f>
        <v>0</v>
      </c>
    </row>
    <row r="199" spans="29:33">
      <c r="AC199" s="65" t="s">
        <v>337</v>
      </c>
      <c r="AD199" s="66">
        <f>F72</f>
        <v>0</v>
      </c>
      <c r="AE199" s="66">
        <f>T72</f>
        <v>0</v>
      </c>
    </row>
    <row r="200" spans="29:33">
      <c r="AC200" s="65" t="s">
        <v>338</v>
      </c>
      <c r="AD200" s="66">
        <f>G72</f>
        <v>0</v>
      </c>
      <c r="AE200" s="66">
        <f>U72</f>
        <v>0</v>
      </c>
    </row>
    <row r="201" spans="29:33">
      <c r="AC201" s="65" t="s">
        <v>339</v>
      </c>
      <c r="AD201" s="66">
        <f>H72</f>
        <v>0</v>
      </c>
      <c r="AE201" s="66">
        <f>V72</f>
        <v>0</v>
      </c>
    </row>
    <row r="202" spans="29:33">
      <c r="AC202" s="65" t="s">
        <v>340</v>
      </c>
      <c r="AD202" s="66">
        <f>I72</f>
        <v>0</v>
      </c>
      <c r="AE202" s="66">
        <f>W72</f>
        <v>0</v>
      </c>
    </row>
    <row r="203" spans="29:33">
      <c r="AC203" s="65" t="s">
        <v>341</v>
      </c>
      <c r="AD203" s="66">
        <f>J72</f>
        <v>0</v>
      </c>
      <c r="AE203" s="66">
        <f>X72</f>
        <v>0</v>
      </c>
    </row>
    <row r="204" spans="29:33">
      <c r="AC204" s="65" t="s">
        <v>342</v>
      </c>
      <c r="AD204" s="66">
        <f>K72</f>
        <v>0</v>
      </c>
      <c r="AE204" s="66">
        <f>Y72</f>
        <v>0</v>
      </c>
    </row>
    <row r="205" spans="29:33">
      <c r="AC205" s="65" t="s">
        <v>343</v>
      </c>
      <c r="AD205" s="66">
        <f>L72</f>
        <v>0</v>
      </c>
      <c r="AE205" s="66">
        <f>Z72</f>
        <v>0</v>
      </c>
    </row>
    <row r="206" spans="29:33">
      <c r="AC206" s="65" t="s">
        <v>344</v>
      </c>
      <c r="AD206" s="66">
        <f>M72</f>
        <v>0</v>
      </c>
      <c r="AE206" s="66">
        <f>AA72</f>
        <v>0</v>
      </c>
      <c r="AF206" s="79"/>
      <c r="AG206" s="79"/>
    </row>
    <row r="207" spans="29:33">
      <c r="AC207" s="28" t="s">
        <v>345</v>
      </c>
      <c r="AD207" s="81">
        <f>B73</f>
        <v>0</v>
      </c>
      <c r="AE207" s="81">
        <f>P73</f>
        <v>0</v>
      </c>
    </row>
    <row r="208" spans="29:33">
      <c r="AC208" s="28" t="s">
        <v>346</v>
      </c>
      <c r="AD208" s="81">
        <f>C73</f>
        <v>0</v>
      </c>
      <c r="AE208" s="81">
        <f>Q73</f>
        <v>0</v>
      </c>
    </row>
    <row r="209" spans="29:33">
      <c r="AC209" s="28" t="s">
        <v>347</v>
      </c>
      <c r="AD209" s="81">
        <f>D73</f>
        <v>0</v>
      </c>
      <c r="AE209" s="81">
        <f>R73</f>
        <v>0</v>
      </c>
    </row>
    <row r="210" spans="29:33">
      <c r="AC210" s="28" t="s">
        <v>348</v>
      </c>
      <c r="AD210" s="81">
        <f>E73</f>
        <v>0</v>
      </c>
      <c r="AE210" s="81">
        <f>S73</f>
        <v>0</v>
      </c>
    </row>
    <row r="211" spans="29:33">
      <c r="AC211" s="28" t="s">
        <v>349</v>
      </c>
      <c r="AD211" s="81">
        <f>F73</f>
        <v>0</v>
      </c>
      <c r="AE211" s="81">
        <f>T73</f>
        <v>0</v>
      </c>
    </row>
    <row r="212" spans="29:33">
      <c r="AC212" s="28" t="s">
        <v>350</v>
      </c>
      <c r="AD212" s="81">
        <f>G73</f>
        <v>0</v>
      </c>
      <c r="AE212" s="81">
        <f>U73</f>
        <v>0</v>
      </c>
    </row>
    <row r="213" spans="29:33">
      <c r="AC213" s="28" t="s">
        <v>351</v>
      </c>
      <c r="AD213" s="81">
        <f>H73</f>
        <v>0</v>
      </c>
      <c r="AE213" s="81">
        <f>V73</f>
        <v>0</v>
      </c>
    </row>
    <row r="214" spans="29:33">
      <c r="AC214" s="28" t="s">
        <v>352</v>
      </c>
      <c r="AD214" s="81">
        <f>I73</f>
        <v>0</v>
      </c>
      <c r="AE214" s="81">
        <f>W73</f>
        <v>0</v>
      </c>
    </row>
    <row r="215" spans="29:33">
      <c r="AC215" s="28" t="s">
        <v>353</v>
      </c>
      <c r="AD215" s="81">
        <f>J73</f>
        <v>0</v>
      </c>
      <c r="AE215" s="94">
        <f>X73</f>
        <v>0</v>
      </c>
    </row>
    <row r="216" spans="29:33">
      <c r="AC216" s="28" t="s">
        <v>354</v>
      </c>
      <c r="AD216" s="81">
        <f>K73</f>
        <v>0</v>
      </c>
      <c r="AE216" s="81">
        <f>Y73</f>
        <v>0</v>
      </c>
    </row>
    <row r="217" spans="29:33">
      <c r="AC217" s="28" t="s">
        <v>355</v>
      </c>
      <c r="AD217" s="81">
        <f>L73</f>
        <v>0</v>
      </c>
      <c r="AE217" s="81">
        <f>Z73</f>
        <v>0</v>
      </c>
    </row>
    <row r="218" spans="29:33">
      <c r="AC218" s="28" t="s">
        <v>356</v>
      </c>
      <c r="AD218" s="81">
        <f>M73</f>
        <v>0</v>
      </c>
      <c r="AE218" s="81">
        <f>AA73</f>
        <v>0</v>
      </c>
      <c r="AF218" s="79"/>
      <c r="AG218" s="79"/>
    </row>
    <row r="219" spans="29:33">
      <c r="AC219" s="65" t="s">
        <v>357</v>
      </c>
      <c r="AD219" s="66">
        <f>B74</f>
        <v>0</v>
      </c>
      <c r="AE219" s="66">
        <f>P74</f>
        <v>0</v>
      </c>
    </row>
    <row r="220" spans="29:33">
      <c r="AC220" s="65" t="s">
        <v>358</v>
      </c>
      <c r="AD220" s="66">
        <f>C74</f>
        <v>0</v>
      </c>
      <c r="AE220" s="66">
        <f>Q74</f>
        <v>0</v>
      </c>
    </row>
    <row r="221" spans="29:33">
      <c r="AC221" s="65" t="s">
        <v>359</v>
      </c>
      <c r="AD221" s="66">
        <f>D74</f>
        <v>0</v>
      </c>
      <c r="AE221" s="66">
        <f>R74</f>
        <v>0</v>
      </c>
    </row>
    <row r="222" spans="29:33">
      <c r="AC222" s="65" t="s">
        <v>360</v>
      </c>
      <c r="AD222" s="66">
        <f>E74</f>
        <v>0</v>
      </c>
      <c r="AE222" s="66">
        <f>S74</f>
        <v>0</v>
      </c>
    </row>
    <row r="223" spans="29:33">
      <c r="AC223" s="65" t="s">
        <v>361</v>
      </c>
      <c r="AD223" s="66">
        <f>F74</f>
        <v>0</v>
      </c>
      <c r="AE223" s="66">
        <f>T74</f>
        <v>0</v>
      </c>
    </row>
    <row r="224" spans="29:33">
      <c r="AC224" s="65" t="s">
        <v>362</v>
      </c>
      <c r="AD224" s="66">
        <f>G74</f>
        <v>0</v>
      </c>
      <c r="AE224" s="66">
        <f>U74</f>
        <v>0</v>
      </c>
    </row>
    <row r="225" spans="29:33">
      <c r="AC225" s="65" t="s">
        <v>363</v>
      </c>
      <c r="AD225" s="66">
        <f>H74</f>
        <v>0</v>
      </c>
      <c r="AE225" s="66">
        <f>V74</f>
        <v>0</v>
      </c>
    </row>
    <row r="226" spans="29:33">
      <c r="AC226" s="65" t="s">
        <v>364</v>
      </c>
      <c r="AD226" s="66">
        <f>I74</f>
        <v>0</v>
      </c>
      <c r="AE226" s="66">
        <f>W74</f>
        <v>0</v>
      </c>
    </row>
    <row r="227" spans="29:33">
      <c r="AC227" s="65" t="s">
        <v>365</v>
      </c>
      <c r="AD227" s="66">
        <f>J74</f>
        <v>0</v>
      </c>
      <c r="AE227" s="66">
        <f>X74</f>
        <v>0</v>
      </c>
    </row>
    <row r="228" spans="29:33">
      <c r="AC228" s="65" t="s">
        <v>366</v>
      </c>
      <c r="AD228" s="66">
        <f>K74</f>
        <v>0</v>
      </c>
      <c r="AE228" s="66">
        <f>Y74</f>
        <v>0</v>
      </c>
    </row>
    <row r="229" spans="29:33">
      <c r="AC229" s="65" t="s">
        <v>367</v>
      </c>
      <c r="AD229" s="66">
        <f>L74</f>
        <v>0</v>
      </c>
      <c r="AE229" s="66">
        <f>Z74</f>
        <v>0</v>
      </c>
    </row>
    <row r="230" spans="29:33">
      <c r="AC230" s="65" t="s">
        <v>368</v>
      </c>
      <c r="AD230" s="66">
        <f>M74</f>
        <v>0</v>
      </c>
      <c r="AE230" s="66">
        <f>AA74</f>
        <v>0</v>
      </c>
      <c r="AF230" s="79"/>
      <c r="AG230" s="79"/>
    </row>
    <row r="231" spans="29:33">
      <c r="AC231" s="28" t="s">
        <v>369</v>
      </c>
      <c r="AD231" s="81">
        <f>B75</f>
        <v>0</v>
      </c>
      <c r="AE231" s="81">
        <f>P75</f>
        <v>0</v>
      </c>
    </row>
    <row r="232" spans="29:33">
      <c r="AC232" s="28" t="s">
        <v>370</v>
      </c>
      <c r="AD232" s="81">
        <f>C75</f>
        <v>0</v>
      </c>
      <c r="AE232" s="81">
        <f>Q75</f>
        <v>0</v>
      </c>
    </row>
    <row r="233" spans="29:33">
      <c r="AC233" s="28" t="s">
        <v>371</v>
      </c>
      <c r="AD233" s="81">
        <f>D75</f>
        <v>0</v>
      </c>
      <c r="AE233" s="81">
        <f>R75</f>
        <v>0</v>
      </c>
    </row>
    <row r="234" spans="29:33">
      <c r="AC234" s="28" t="s">
        <v>372</v>
      </c>
      <c r="AD234" s="81">
        <f>E75</f>
        <v>0</v>
      </c>
      <c r="AE234" s="94">
        <f>S75</f>
        <v>0</v>
      </c>
    </row>
    <row r="235" spans="29:33">
      <c r="AC235" s="28" t="s">
        <v>373</v>
      </c>
      <c r="AD235" s="81">
        <f>F75</f>
        <v>0</v>
      </c>
      <c r="AE235" s="81">
        <f>T75</f>
        <v>0</v>
      </c>
    </row>
    <row r="236" spans="29:33">
      <c r="AC236" s="28" t="s">
        <v>374</v>
      </c>
      <c r="AD236" s="81">
        <f>G75</f>
        <v>0</v>
      </c>
      <c r="AE236" s="81">
        <f>U75</f>
        <v>0</v>
      </c>
    </row>
    <row r="237" spans="29:33">
      <c r="AC237" s="28" t="s">
        <v>375</v>
      </c>
      <c r="AD237" s="81">
        <f>H75</f>
        <v>0</v>
      </c>
      <c r="AE237" s="81">
        <f>V75</f>
        <v>0</v>
      </c>
    </row>
    <row r="238" spans="29:33">
      <c r="AC238" s="28" t="s">
        <v>376</v>
      </c>
      <c r="AD238" s="81">
        <f>I75</f>
        <v>0</v>
      </c>
      <c r="AE238" s="81">
        <f>W75</f>
        <v>0</v>
      </c>
    </row>
    <row r="239" spans="29:33">
      <c r="AC239" s="28" t="s">
        <v>377</v>
      </c>
      <c r="AD239" s="81">
        <f>J75</f>
        <v>0</v>
      </c>
      <c r="AE239" s="81">
        <f>X75</f>
        <v>0</v>
      </c>
    </row>
    <row r="240" spans="29:33">
      <c r="AC240" s="28" t="s">
        <v>378</v>
      </c>
      <c r="AD240" s="81">
        <f>K75</f>
        <v>0</v>
      </c>
      <c r="AE240" s="81">
        <f>Y75</f>
        <v>0</v>
      </c>
    </row>
    <row r="241" spans="18:33">
      <c r="AC241" s="28" t="s">
        <v>379</v>
      </c>
      <c r="AD241" s="81">
        <f>L75</f>
        <v>0</v>
      </c>
      <c r="AE241" s="81">
        <f>Z75</f>
        <v>0</v>
      </c>
    </row>
    <row r="242" spans="18:33">
      <c r="AC242" s="28" t="s">
        <v>380</v>
      </c>
      <c r="AD242" s="81">
        <f>M75</f>
        <v>0</v>
      </c>
      <c r="AE242" s="81">
        <f>AA75</f>
        <v>0</v>
      </c>
      <c r="AF242" s="79"/>
      <c r="AG242" s="79"/>
    </row>
    <row r="243" spans="18:33">
      <c r="AC243" s="65" t="s">
        <v>381</v>
      </c>
      <c r="AD243" s="66">
        <f>B76</f>
        <v>0</v>
      </c>
      <c r="AE243" s="66">
        <f>P76</f>
        <v>0</v>
      </c>
    </row>
    <row r="244" spans="18:33">
      <c r="AC244" s="65" t="s">
        <v>382</v>
      </c>
      <c r="AD244" s="66">
        <f>C76</f>
        <v>0</v>
      </c>
      <c r="AE244" s="66">
        <f>Q76</f>
        <v>0</v>
      </c>
    </row>
    <row r="245" spans="18:33">
      <c r="AC245" s="65" t="s">
        <v>383</v>
      </c>
      <c r="AD245" s="66">
        <f>D76</f>
        <v>0</v>
      </c>
      <c r="AE245" s="66">
        <f>R76</f>
        <v>0</v>
      </c>
    </row>
    <row r="246" spans="18:33">
      <c r="AC246" s="65" t="s">
        <v>384</v>
      </c>
      <c r="AD246" s="66">
        <f>E76</f>
        <v>0</v>
      </c>
      <c r="AE246" s="66">
        <f>S76</f>
        <v>0</v>
      </c>
    </row>
    <row r="247" spans="18:33">
      <c r="AC247" s="65" t="s">
        <v>385</v>
      </c>
      <c r="AD247" s="66">
        <f>F76</f>
        <v>0</v>
      </c>
      <c r="AE247" s="66">
        <f>T76</f>
        <v>0</v>
      </c>
    </row>
    <row r="248" spans="18:33">
      <c r="AC248" s="65" t="s">
        <v>386</v>
      </c>
      <c r="AD248" s="66">
        <f>G76</f>
        <v>0</v>
      </c>
      <c r="AE248" s="66">
        <f>U76</f>
        <v>0</v>
      </c>
    </row>
    <row r="249" spans="18:33">
      <c r="AC249" s="65" t="s">
        <v>387</v>
      </c>
      <c r="AD249" s="66">
        <f>H76</f>
        <v>0</v>
      </c>
      <c r="AE249" s="66">
        <f>V76</f>
        <v>0</v>
      </c>
    </row>
    <row r="250" spans="18:33">
      <c r="AC250" s="65" t="s">
        <v>388</v>
      </c>
      <c r="AD250" s="66">
        <f>I76</f>
        <v>0</v>
      </c>
      <c r="AE250" s="66">
        <f>W76</f>
        <v>0</v>
      </c>
    </row>
    <row r="251" spans="18:33">
      <c r="AC251" s="65" t="s">
        <v>389</v>
      </c>
      <c r="AD251" s="66">
        <f>J76</f>
        <v>0</v>
      </c>
      <c r="AE251" s="66">
        <f>X76</f>
        <v>0</v>
      </c>
    </row>
    <row r="252" spans="18:33">
      <c r="AC252" s="65" t="s">
        <v>390</v>
      </c>
      <c r="AD252" s="66">
        <f>K76</f>
        <v>0</v>
      </c>
      <c r="AE252" s="66">
        <f>Y76</f>
        <v>0</v>
      </c>
    </row>
    <row r="253" spans="18:33">
      <c r="AC253" s="65" t="s">
        <v>391</v>
      </c>
      <c r="AD253" s="66">
        <f>L76</f>
        <v>0</v>
      </c>
      <c r="AE253" s="66">
        <f>Z76</f>
        <v>0</v>
      </c>
    </row>
    <row r="254" spans="18:33">
      <c r="AC254" s="65" t="s">
        <v>392</v>
      </c>
      <c r="AD254" s="66">
        <f>M76</f>
        <v>0</v>
      </c>
      <c r="AE254" s="66">
        <f>AA76</f>
        <v>0</v>
      </c>
      <c r="AF254" s="79"/>
      <c r="AG254" s="79"/>
    </row>
    <row r="255" spans="18:33">
      <c r="AC255" s="28" t="s">
        <v>393</v>
      </c>
      <c r="AD255" s="81">
        <f>B77</f>
        <v>0</v>
      </c>
      <c r="AE255" s="81">
        <f>P77</f>
        <v>0</v>
      </c>
    </row>
    <row r="256" spans="18:33">
      <c r="R256" t="s">
        <v>430</v>
      </c>
      <c r="AC256" s="28" t="s">
        <v>394</v>
      </c>
      <c r="AD256" s="81">
        <f>C77</f>
        <v>0</v>
      </c>
      <c r="AE256" s="81">
        <f>Q77</f>
        <v>0</v>
      </c>
    </row>
    <row r="257" spans="29:33">
      <c r="AC257" s="28" t="s">
        <v>395</v>
      </c>
      <c r="AD257" s="81">
        <f>D77</f>
        <v>0</v>
      </c>
      <c r="AE257" s="81">
        <f>R77</f>
        <v>0</v>
      </c>
    </row>
    <row r="258" spans="29:33">
      <c r="AC258" s="28" t="s">
        <v>396</v>
      </c>
      <c r="AD258" s="81">
        <f>E77</f>
        <v>0</v>
      </c>
      <c r="AE258" s="81">
        <f>S77</f>
        <v>0</v>
      </c>
    </row>
    <row r="259" spans="29:33">
      <c r="AC259" s="28" t="s">
        <v>397</v>
      </c>
      <c r="AD259" s="81">
        <f>F77</f>
        <v>0</v>
      </c>
      <c r="AE259" s="81">
        <f>T77</f>
        <v>0</v>
      </c>
    </row>
    <row r="260" spans="29:33">
      <c r="AC260" s="28" t="s">
        <v>398</v>
      </c>
      <c r="AD260" s="81">
        <f>G77</f>
        <v>0</v>
      </c>
      <c r="AE260" s="81">
        <f>U77</f>
        <v>0</v>
      </c>
    </row>
    <row r="261" spans="29:33">
      <c r="AC261" s="28" t="s">
        <v>399</v>
      </c>
      <c r="AD261" s="81">
        <f>H77</f>
        <v>0</v>
      </c>
      <c r="AE261" s="81">
        <f>V77</f>
        <v>0</v>
      </c>
    </row>
    <row r="262" spans="29:33">
      <c r="AC262" s="28" t="s">
        <v>400</v>
      </c>
      <c r="AD262" s="81">
        <f>I77</f>
        <v>0</v>
      </c>
      <c r="AE262" s="81">
        <f>W77</f>
        <v>0</v>
      </c>
    </row>
    <row r="263" spans="29:33">
      <c r="AC263" s="28" t="s">
        <v>401</v>
      </c>
      <c r="AD263" s="81">
        <f>J77</f>
        <v>0</v>
      </c>
      <c r="AE263" s="81">
        <f>X77</f>
        <v>0</v>
      </c>
    </row>
    <row r="264" spans="29:33">
      <c r="AC264" s="28" t="s">
        <v>402</v>
      </c>
      <c r="AD264" s="81">
        <f>K77</f>
        <v>0</v>
      </c>
      <c r="AE264" s="81">
        <f>Y77</f>
        <v>0</v>
      </c>
    </row>
    <row r="265" spans="29:33">
      <c r="AC265" s="28" t="s">
        <v>403</v>
      </c>
      <c r="AD265" s="81">
        <f>L77</f>
        <v>0</v>
      </c>
      <c r="AE265" s="81">
        <f>Z77</f>
        <v>0</v>
      </c>
    </row>
    <row r="266" spans="29:33">
      <c r="AC266" s="28" t="s">
        <v>404</v>
      </c>
      <c r="AD266" s="81">
        <f>M77</f>
        <v>0</v>
      </c>
      <c r="AE266" s="81">
        <f>AA77</f>
        <v>0</v>
      </c>
      <c r="AF266" s="79"/>
      <c r="AG266" s="79"/>
    </row>
    <row r="267" spans="29:33">
      <c r="AC267" s="65" t="s">
        <v>405</v>
      </c>
      <c r="AD267" s="66">
        <f>B78</f>
        <v>0</v>
      </c>
      <c r="AE267" s="66">
        <f>P78</f>
        <v>0</v>
      </c>
    </row>
    <row r="268" spans="29:33">
      <c r="AC268" s="65" t="s">
        <v>406</v>
      </c>
      <c r="AD268" s="66">
        <f>C78</f>
        <v>0</v>
      </c>
      <c r="AE268" s="66">
        <f>Q78</f>
        <v>0</v>
      </c>
    </row>
    <row r="269" spans="29:33">
      <c r="AC269" s="65" t="s">
        <v>407</v>
      </c>
      <c r="AD269" s="66">
        <f>D78</f>
        <v>0</v>
      </c>
      <c r="AE269" s="66">
        <f>R78</f>
        <v>0</v>
      </c>
    </row>
    <row r="270" spans="29:33">
      <c r="AC270" s="65" t="s">
        <v>408</v>
      </c>
      <c r="AD270" s="66">
        <f>E78</f>
        <v>0</v>
      </c>
      <c r="AE270" s="66">
        <f>S78</f>
        <v>0</v>
      </c>
    </row>
    <row r="271" spans="29:33">
      <c r="AC271" s="65" t="s">
        <v>409</v>
      </c>
      <c r="AD271" s="66">
        <f>F78</f>
        <v>0</v>
      </c>
      <c r="AE271" s="66">
        <f>T78</f>
        <v>0</v>
      </c>
    </row>
    <row r="272" spans="29:33">
      <c r="AC272" s="65" t="s">
        <v>410</v>
      </c>
      <c r="AD272" s="66">
        <f>G78</f>
        <v>0</v>
      </c>
      <c r="AE272" s="66">
        <f>U78</f>
        <v>0</v>
      </c>
    </row>
    <row r="273" spans="29:33">
      <c r="AC273" s="65" t="s">
        <v>411</v>
      </c>
      <c r="AD273" s="66">
        <f>H78</f>
        <v>0</v>
      </c>
      <c r="AE273" s="66">
        <f>V78</f>
        <v>0</v>
      </c>
    </row>
    <row r="274" spans="29:33">
      <c r="AC274" s="65" t="s">
        <v>412</v>
      </c>
      <c r="AD274" s="66">
        <f>I78</f>
        <v>0</v>
      </c>
      <c r="AE274" s="66">
        <f>W78</f>
        <v>0</v>
      </c>
    </row>
    <row r="275" spans="29:33">
      <c r="AC275" s="65" t="s">
        <v>413</v>
      </c>
      <c r="AD275" s="66">
        <f>J78</f>
        <v>0</v>
      </c>
      <c r="AE275" s="66">
        <f>X78</f>
        <v>0</v>
      </c>
    </row>
    <row r="276" spans="29:33">
      <c r="AC276" s="65" t="s">
        <v>414</v>
      </c>
      <c r="AD276" s="66">
        <f>K78</f>
        <v>0</v>
      </c>
      <c r="AE276" s="66">
        <f>Y78</f>
        <v>0</v>
      </c>
    </row>
    <row r="277" spans="29:33">
      <c r="AC277" s="65" t="s">
        <v>415</v>
      </c>
      <c r="AD277" s="66">
        <f>L78</f>
        <v>0</v>
      </c>
      <c r="AE277" s="66">
        <f>Z78</f>
        <v>0</v>
      </c>
    </row>
    <row r="278" spans="29:33">
      <c r="AC278" s="65" t="s">
        <v>416</v>
      </c>
      <c r="AD278" s="66">
        <f>M78</f>
        <v>0</v>
      </c>
      <c r="AE278" s="66">
        <f>AA78</f>
        <v>0</v>
      </c>
      <c r="AF278" s="79"/>
      <c r="AG278" s="79"/>
    </row>
    <row r="279" spans="29:33">
      <c r="AC279" s="28" t="s">
        <v>417</v>
      </c>
      <c r="AD279" s="81">
        <f>B79</f>
        <v>0</v>
      </c>
      <c r="AE279" s="81">
        <f>P79</f>
        <v>0</v>
      </c>
    </row>
    <row r="280" spans="29:33">
      <c r="AC280" s="28" t="s">
        <v>418</v>
      </c>
      <c r="AD280" s="81">
        <f>C79</f>
        <v>0</v>
      </c>
      <c r="AE280" s="81">
        <f>Q79</f>
        <v>0</v>
      </c>
    </row>
    <row r="281" spans="29:33">
      <c r="AC281" s="28" t="s">
        <v>419</v>
      </c>
      <c r="AD281" s="81">
        <f>D79</f>
        <v>0</v>
      </c>
      <c r="AE281" s="81">
        <f>R79</f>
        <v>0</v>
      </c>
    </row>
    <row r="282" spans="29:33">
      <c r="AC282" s="28" t="s">
        <v>420</v>
      </c>
      <c r="AD282" s="81">
        <f>E79</f>
        <v>0</v>
      </c>
      <c r="AE282" s="81">
        <f>S79</f>
        <v>0</v>
      </c>
    </row>
    <row r="283" spans="29:33">
      <c r="AC283" s="28" t="s">
        <v>421</v>
      </c>
      <c r="AD283" s="81">
        <f>F79</f>
        <v>0</v>
      </c>
      <c r="AE283" s="81">
        <f>T79</f>
        <v>0</v>
      </c>
    </row>
    <row r="284" spans="29:33">
      <c r="AC284" s="28" t="s">
        <v>422</v>
      </c>
      <c r="AD284" s="81">
        <f>G79</f>
        <v>0</v>
      </c>
      <c r="AE284" s="81">
        <f>U79</f>
        <v>0</v>
      </c>
    </row>
    <row r="285" spans="29:33">
      <c r="AC285" s="28" t="s">
        <v>423</v>
      </c>
      <c r="AD285" s="81">
        <f>H79</f>
        <v>0</v>
      </c>
      <c r="AE285" s="81">
        <f>V79</f>
        <v>0</v>
      </c>
    </row>
    <row r="286" spans="29:33">
      <c r="AC286" s="28" t="s">
        <v>424</v>
      </c>
      <c r="AD286" s="81">
        <f>I79</f>
        <v>0</v>
      </c>
      <c r="AE286" s="81">
        <f>W79</f>
        <v>0</v>
      </c>
    </row>
    <row r="287" spans="29:33">
      <c r="AC287" s="28" t="s">
        <v>425</v>
      </c>
      <c r="AD287" s="81">
        <f>J79</f>
        <v>0</v>
      </c>
      <c r="AE287" s="81">
        <f>X79</f>
        <v>0</v>
      </c>
    </row>
    <row r="288" spans="29:33">
      <c r="AC288" s="28" t="s">
        <v>426</v>
      </c>
      <c r="AD288" s="81">
        <f>K79</f>
        <v>0</v>
      </c>
      <c r="AE288" s="81">
        <f>Y79</f>
        <v>0</v>
      </c>
    </row>
    <row r="289" spans="29:33">
      <c r="AC289" s="28" t="s">
        <v>427</v>
      </c>
      <c r="AD289" s="81">
        <f>L79</f>
        <v>0</v>
      </c>
      <c r="AE289" s="81">
        <f>Z79</f>
        <v>0</v>
      </c>
    </row>
    <row r="290" spans="29:33">
      <c r="AC290" s="28" t="s">
        <v>428</v>
      </c>
      <c r="AD290" s="81">
        <f>M79</f>
        <v>0</v>
      </c>
      <c r="AE290" s="81">
        <f>AA79</f>
        <v>0</v>
      </c>
      <c r="AF290" s="79"/>
      <c r="AG290" s="79"/>
    </row>
  </sheetData>
  <sheetProtection selectLockedCells="1"/>
  <protectedRanges>
    <protectedRange algorithmName="SHA-512" hashValue="40MN/14QM/5sXvXjOuOfKNrfuRzymLPLOKYbDi6SF47j6EnZzm1bTIuDBTCAdUsRPMgZ4hb4DJJBpJGeXkvEXA==" saltValue="kzzHrF8EmyBtOVMY9eUGzw==" spinCount="100000" sqref="AC1:AE290" name="MQ_Vertical"/>
    <protectedRange algorithmName="SHA-512" hashValue="1tt3/0Ho1hVtvb2b+Zt22spF2caxR+T5zHZI88iJ/5nEPZTicjG68KHxRP2pt4Aq6IizLDcyF5vlfbmd0tZwXQ==" saltValue="z2rN4NhLxnWL9hjjXFyCjQ==" spinCount="100000" sqref="A28:AA79" name="Range2"/>
  </protectedRanges>
  <mergeCells count="24"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X28:Y28"/>
    <mergeCell ref="B28:C28"/>
    <mergeCell ref="D28:E28"/>
    <mergeCell ref="F28:G28"/>
    <mergeCell ref="H28:I28"/>
    <mergeCell ref="J28:K28"/>
    <mergeCell ref="L28:M28"/>
    <mergeCell ref="N28:O28"/>
    <mergeCell ref="P28:Q28"/>
    <mergeCell ref="R28:S28"/>
    <mergeCell ref="T28:U28"/>
    <mergeCell ref="V28:W28"/>
  </mergeCells>
  <phoneticPr fontId="9" type="noConversion"/>
  <pageMargins left="0.7" right="0.7" top="0.75" bottom="0.75" header="0.3" footer="0.3"/>
  <pageSetup paperSize="9" scale="3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436B8-D75A-4F12-BEF8-6F1CCC4281A0}">
  <sheetPr codeName="Sheet4"/>
  <dimension ref="A1:L296"/>
  <sheetViews>
    <sheetView zoomScaleNormal="100" zoomScaleSheetLayoutView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20" sqref="F20"/>
    </sheetView>
  </sheetViews>
  <sheetFormatPr defaultColWidth="8.85546875" defaultRowHeight="15.75"/>
  <cols>
    <col min="1" max="1" width="13.7109375" style="9" customWidth="1"/>
    <col min="2" max="2" width="15" style="2" customWidth="1"/>
    <col min="3" max="3" width="20.85546875" style="6" customWidth="1"/>
    <col min="4" max="4" width="21.28515625" style="6" customWidth="1"/>
    <col min="5" max="5" width="27.28515625" style="4" customWidth="1"/>
    <col min="6" max="6" width="21.140625" style="4" customWidth="1"/>
    <col min="7" max="7" width="21.140625" style="13" customWidth="1"/>
    <col min="8" max="9" width="10.140625" style="3" hidden="1" customWidth="1"/>
    <col min="10" max="10" width="8.85546875" style="3" customWidth="1"/>
    <col min="11" max="12" width="18" style="3" customWidth="1"/>
    <col min="13" max="13" width="8.85546875" style="3" customWidth="1"/>
    <col min="14" max="16384" width="8.85546875" style="3"/>
  </cols>
  <sheetData>
    <row r="1" spans="1:12" s="1" customFormat="1">
      <c r="A1" s="296" t="s">
        <v>0</v>
      </c>
      <c r="B1" s="298" t="s">
        <v>1</v>
      </c>
      <c r="C1" s="302" t="s">
        <v>429</v>
      </c>
      <c r="D1" s="302"/>
      <c r="E1" s="300" t="s">
        <v>432</v>
      </c>
      <c r="F1" s="294" t="s">
        <v>28</v>
      </c>
      <c r="G1" s="295"/>
      <c r="K1" s="4"/>
      <c r="L1" s="4"/>
    </row>
    <row r="2" spans="1:12" s="1" customFormat="1">
      <c r="A2" s="297"/>
      <c r="B2" s="299"/>
      <c r="C2" s="54" t="s">
        <v>138</v>
      </c>
      <c r="D2" s="54" t="s">
        <v>139</v>
      </c>
      <c r="E2" s="301"/>
      <c r="F2" s="56" t="s">
        <v>433</v>
      </c>
      <c r="G2" s="57" t="s">
        <v>434</v>
      </c>
      <c r="H2" s="1" t="s">
        <v>433</v>
      </c>
      <c r="I2" s="1" t="s">
        <v>434</v>
      </c>
      <c r="K2" s="4"/>
      <c r="L2" s="4"/>
    </row>
    <row r="3" spans="1:12">
      <c r="A3" s="293" t="s">
        <v>2</v>
      </c>
      <c r="B3" s="8">
        <v>3.472222222222222E-3</v>
      </c>
      <c r="C3" s="17">
        <f>MQ!AD3</f>
        <v>0</v>
      </c>
      <c r="D3" s="17">
        <f>(MQ!AE3)*-1</f>
        <v>0</v>
      </c>
      <c r="E3" s="39">
        <f>'RTD Sched &amp; Prices'!I2</f>
        <v>0</v>
      </c>
      <c r="F3" s="39">
        <f>C3*E3</f>
        <v>0</v>
      </c>
      <c r="G3" s="12">
        <f>D3*E3</f>
        <v>0</v>
      </c>
      <c r="K3" s="42"/>
      <c r="L3" s="42"/>
    </row>
    <row r="4" spans="1:12">
      <c r="A4" s="293"/>
      <c r="B4" s="8">
        <v>6.9444444444444441E-3</v>
      </c>
      <c r="C4" s="17">
        <f>MQ!AD4</f>
        <v>0</v>
      </c>
      <c r="D4" s="17">
        <f>(MQ!AE4)*-1</f>
        <v>0</v>
      </c>
      <c r="E4" s="39">
        <f>'RTD Sched &amp; Prices'!I3</f>
        <v>0</v>
      </c>
      <c r="F4" s="39">
        <f t="shared" ref="F4:F67" si="0">C4*E4</f>
        <v>0</v>
      </c>
      <c r="G4" s="12">
        <f t="shared" ref="G4:G67" si="1">D4*E4</f>
        <v>0</v>
      </c>
      <c r="K4" s="42"/>
      <c r="L4" s="42"/>
    </row>
    <row r="5" spans="1:12">
      <c r="A5" s="293"/>
      <c r="B5" s="8">
        <v>1.0416666666666666E-2</v>
      </c>
      <c r="C5" s="17">
        <f>MQ!AD5</f>
        <v>0</v>
      </c>
      <c r="D5" s="17">
        <f>(MQ!AE5)*-1</f>
        <v>0</v>
      </c>
      <c r="E5" s="39">
        <f>'RTD Sched &amp; Prices'!I4</f>
        <v>0</v>
      </c>
      <c r="F5" s="39">
        <f t="shared" si="0"/>
        <v>0</v>
      </c>
      <c r="G5" s="12">
        <f t="shared" si="1"/>
        <v>0</v>
      </c>
      <c r="K5" s="42"/>
      <c r="L5" s="42"/>
    </row>
    <row r="6" spans="1:12">
      <c r="A6" s="293"/>
      <c r="B6" s="8">
        <v>1.3888888888888888E-2</v>
      </c>
      <c r="C6" s="17">
        <f>MQ!AD6</f>
        <v>0</v>
      </c>
      <c r="D6" s="17">
        <f>(MQ!AE6)*-1</f>
        <v>0</v>
      </c>
      <c r="E6" s="39">
        <f>'RTD Sched &amp; Prices'!I5</f>
        <v>0</v>
      </c>
      <c r="F6" s="39">
        <f t="shared" si="0"/>
        <v>0</v>
      </c>
      <c r="G6" s="12">
        <f t="shared" si="1"/>
        <v>0</v>
      </c>
      <c r="K6" s="42"/>
      <c r="L6" s="42"/>
    </row>
    <row r="7" spans="1:12">
      <c r="A7" s="293"/>
      <c r="B7" s="8">
        <v>1.7361111111111112E-2</v>
      </c>
      <c r="C7" s="17">
        <f>MQ!AD7</f>
        <v>0</v>
      </c>
      <c r="D7" s="17">
        <f>(MQ!AE7)*-1</f>
        <v>0</v>
      </c>
      <c r="E7" s="39">
        <f>'RTD Sched &amp; Prices'!I6</f>
        <v>0</v>
      </c>
      <c r="F7" s="39">
        <f t="shared" si="0"/>
        <v>0</v>
      </c>
      <c r="G7" s="12">
        <f t="shared" si="1"/>
        <v>0</v>
      </c>
      <c r="K7" s="42"/>
      <c r="L7" s="42"/>
    </row>
    <row r="8" spans="1:12">
      <c r="A8" s="293"/>
      <c r="B8" s="8">
        <v>2.0833333333333332E-2</v>
      </c>
      <c r="C8" s="17">
        <f>MQ!AD8</f>
        <v>0</v>
      </c>
      <c r="D8" s="17">
        <f>(MQ!AE8)*-1</f>
        <v>0</v>
      </c>
      <c r="E8" s="39">
        <f>'RTD Sched &amp; Prices'!I7</f>
        <v>0</v>
      </c>
      <c r="F8" s="39">
        <f t="shared" si="0"/>
        <v>0</v>
      </c>
      <c r="G8" s="12">
        <f t="shared" si="1"/>
        <v>0</v>
      </c>
      <c r="K8" s="42"/>
      <c r="L8" s="42"/>
    </row>
    <row r="9" spans="1:12">
      <c r="A9" s="293"/>
      <c r="B9" s="8">
        <v>2.4305555555555556E-2</v>
      </c>
      <c r="C9" s="17">
        <f>MQ!AD9</f>
        <v>0</v>
      </c>
      <c r="D9" s="17">
        <f>(MQ!AE9)*-1</f>
        <v>0</v>
      </c>
      <c r="E9" s="39">
        <f>'RTD Sched &amp; Prices'!I8</f>
        <v>0</v>
      </c>
      <c r="F9" s="39">
        <f t="shared" si="0"/>
        <v>0</v>
      </c>
      <c r="G9" s="12">
        <f t="shared" si="1"/>
        <v>0</v>
      </c>
      <c r="K9" s="42"/>
      <c r="L9" s="42"/>
    </row>
    <row r="10" spans="1:12">
      <c r="A10" s="293"/>
      <c r="B10" s="8">
        <v>2.7777777777777776E-2</v>
      </c>
      <c r="C10" s="17">
        <f>MQ!AD10</f>
        <v>0</v>
      </c>
      <c r="D10" s="17">
        <f>(MQ!AE10)*-1</f>
        <v>0</v>
      </c>
      <c r="E10" s="39">
        <f>'RTD Sched &amp; Prices'!I9</f>
        <v>0</v>
      </c>
      <c r="F10" s="39">
        <f t="shared" si="0"/>
        <v>0</v>
      </c>
      <c r="G10" s="12">
        <f t="shared" si="1"/>
        <v>0</v>
      </c>
      <c r="K10" s="42"/>
      <c r="L10" s="42"/>
    </row>
    <row r="11" spans="1:12">
      <c r="A11" s="293"/>
      <c r="B11" s="8">
        <v>3.125E-2</v>
      </c>
      <c r="C11" s="17">
        <f>MQ!AD11</f>
        <v>0</v>
      </c>
      <c r="D11" s="17">
        <f>(MQ!AE11)*-1</f>
        <v>0</v>
      </c>
      <c r="E11" s="39">
        <f>'RTD Sched &amp; Prices'!I10</f>
        <v>0</v>
      </c>
      <c r="F11" s="39">
        <f t="shared" si="0"/>
        <v>0</v>
      </c>
      <c r="G11" s="12">
        <f t="shared" si="1"/>
        <v>0</v>
      </c>
      <c r="K11" s="42"/>
      <c r="L11" s="42"/>
    </row>
    <row r="12" spans="1:12">
      <c r="A12" s="293"/>
      <c r="B12" s="8">
        <v>3.4722222222222224E-2</v>
      </c>
      <c r="C12" s="17">
        <f>MQ!AD12</f>
        <v>0</v>
      </c>
      <c r="D12" s="17">
        <f>(MQ!AE12)*-1</f>
        <v>0</v>
      </c>
      <c r="E12" s="39">
        <f>'RTD Sched &amp; Prices'!I11</f>
        <v>0</v>
      </c>
      <c r="F12" s="39">
        <f t="shared" si="0"/>
        <v>0</v>
      </c>
      <c r="G12" s="12">
        <f t="shared" si="1"/>
        <v>0</v>
      </c>
      <c r="K12" s="42"/>
      <c r="L12" s="42"/>
    </row>
    <row r="13" spans="1:12">
      <c r="A13" s="293"/>
      <c r="B13" s="8">
        <v>3.8194444444444441E-2</v>
      </c>
      <c r="C13" s="17">
        <f>MQ!AD13</f>
        <v>0</v>
      </c>
      <c r="D13" s="17">
        <f>(MQ!AE13)*-1</f>
        <v>0</v>
      </c>
      <c r="E13" s="39">
        <f>'RTD Sched &amp; Prices'!I12</f>
        <v>0</v>
      </c>
      <c r="F13" s="39">
        <f t="shared" si="0"/>
        <v>0</v>
      </c>
      <c r="G13" s="12">
        <f t="shared" si="1"/>
        <v>0</v>
      </c>
      <c r="K13" s="42"/>
      <c r="L13" s="42"/>
    </row>
    <row r="14" spans="1:12">
      <c r="A14" s="293"/>
      <c r="B14" s="8">
        <v>4.1666666666666664E-2</v>
      </c>
      <c r="C14" s="166">
        <f>MQ!AD14</f>
        <v>0</v>
      </c>
      <c r="D14" s="166">
        <f>(MQ!AE14)*-1</f>
        <v>0</v>
      </c>
      <c r="E14" s="167">
        <f>'RTD Sched &amp; Prices'!I13</f>
        <v>0</v>
      </c>
      <c r="F14" s="167">
        <f t="shared" si="0"/>
        <v>0</v>
      </c>
      <c r="G14" s="12">
        <f t="shared" si="1"/>
        <v>0</v>
      </c>
      <c r="H14" s="168">
        <f>SUM(F3:F14)</f>
        <v>0</v>
      </c>
      <c r="I14" s="168">
        <f>SUM(G3:G14)</f>
        <v>0</v>
      </c>
      <c r="K14" s="42"/>
      <c r="L14" s="42"/>
    </row>
    <row r="15" spans="1:12">
      <c r="A15" s="292" t="s">
        <v>3</v>
      </c>
      <c r="B15" s="8">
        <v>4.5138888888888902E-2</v>
      </c>
      <c r="C15" s="166">
        <f>MQ!AD15</f>
        <v>0</v>
      </c>
      <c r="D15" s="166">
        <f>(MQ!AE15)*-1</f>
        <v>0</v>
      </c>
      <c r="E15" s="167">
        <f>'RTD Sched &amp; Prices'!I14</f>
        <v>0</v>
      </c>
      <c r="F15" s="167">
        <f t="shared" si="0"/>
        <v>0</v>
      </c>
      <c r="G15" s="12">
        <f t="shared" si="1"/>
        <v>0</v>
      </c>
      <c r="K15" s="42"/>
      <c r="L15" s="42"/>
    </row>
    <row r="16" spans="1:12">
      <c r="A16" s="292"/>
      <c r="B16" s="8">
        <v>4.8611111111111098E-2</v>
      </c>
      <c r="C16" s="166">
        <f>MQ!AD16</f>
        <v>0</v>
      </c>
      <c r="D16" s="166">
        <f>(MQ!AE16)*-1</f>
        <v>0</v>
      </c>
      <c r="E16" s="167">
        <f>'RTD Sched &amp; Prices'!I15</f>
        <v>0</v>
      </c>
      <c r="F16" s="167">
        <f t="shared" si="0"/>
        <v>0</v>
      </c>
      <c r="G16" s="12">
        <f t="shared" si="1"/>
        <v>0</v>
      </c>
      <c r="K16" s="42"/>
      <c r="L16" s="42"/>
    </row>
    <row r="17" spans="1:12">
      <c r="A17" s="292"/>
      <c r="B17" s="8">
        <v>5.2083333333333301E-2</v>
      </c>
      <c r="C17" s="166">
        <f>MQ!AD17</f>
        <v>0</v>
      </c>
      <c r="D17" s="166">
        <f>(MQ!AE17)*-1</f>
        <v>0</v>
      </c>
      <c r="E17" s="167">
        <f>'RTD Sched &amp; Prices'!I16</f>
        <v>0</v>
      </c>
      <c r="F17" s="167">
        <f t="shared" si="0"/>
        <v>0</v>
      </c>
      <c r="G17" s="12">
        <f t="shared" si="1"/>
        <v>0</v>
      </c>
      <c r="K17" s="42"/>
      <c r="L17" s="42"/>
    </row>
    <row r="18" spans="1:12">
      <c r="A18" s="292"/>
      <c r="B18" s="8">
        <v>5.5555555555555497E-2</v>
      </c>
      <c r="C18" s="166">
        <f>MQ!AD18</f>
        <v>0</v>
      </c>
      <c r="D18" s="166">
        <f>(MQ!AE18)*-1</f>
        <v>0</v>
      </c>
      <c r="E18" s="167">
        <f>'RTD Sched &amp; Prices'!I17</f>
        <v>0</v>
      </c>
      <c r="F18" s="167">
        <f t="shared" si="0"/>
        <v>0</v>
      </c>
      <c r="G18" s="12">
        <f t="shared" si="1"/>
        <v>0</v>
      </c>
      <c r="K18" s="42"/>
      <c r="L18" s="42"/>
    </row>
    <row r="19" spans="1:12">
      <c r="A19" s="292"/>
      <c r="B19" s="8">
        <v>5.9027777777777797E-2</v>
      </c>
      <c r="C19" s="166">
        <f>MQ!AD19</f>
        <v>0</v>
      </c>
      <c r="D19" s="166">
        <f>(MQ!AE19)*-1</f>
        <v>0</v>
      </c>
      <c r="E19" s="167">
        <f>'RTD Sched &amp; Prices'!I18</f>
        <v>0</v>
      </c>
      <c r="F19" s="167">
        <f t="shared" si="0"/>
        <v>0</v>
      </c>
      <c r="G19" s="12">
        <f t="shared" si="1"/>
        <v>0</v>
      </c>
      <c r="K19" s="42"/>
      <c r="L19" s="42"/>
    </row>
    <row r="20" spans="1:12">
      <c r="A20" s="292"/>
      <c r="B20" s="8">
        <v>6.25E-2</v>
      </c>
      <c r="C20" s="166">
        <f>MQ!AD20</f>
        <v>0</v>
      </c>
      <c r="D20" s="166">
        <f>(MQ!AE20)*-1</f>
        <v>0</v>
      </c>
      <c r="E20" s="167">
        <f>'RTD Sched &amp; Prices'!I19</f>
        <v>0</v>
      </c>
      <c r="F20" s="167">
        <f t="shared" si="0"/>
        <v>0</v>
      </c>
      <c r="G20" s="12">
        <f t="shared" si="1"/>
        <v>0</v>
      </c>
      <c r="K20" s="42"/>
      <c r="L20" s="42"/>
    </row>
    <row r="21" spans="1:12">
      <c r="A21" s="292"/>
      <c r="B21" s="8">
        <v>6.5972222222222196E-2</v>
      </c>
      <c r="C21" s="166">
        <f>MQ!AD21</f>
        <v>0</v>
      </c>
      <c r="D21" s="166">
        <f>(MQ!AE21)*-1</f>
        <v>0</v>
      </c>
      <c r="E21" s="167">
        <f>'RTD Sched &amp; Prices'!I20</f>
        <v>0</v>
      </c>
      <c r="F21" s="167">
        <f t="shared" si="0"/>
        <v>0</v>
      </c>
      <c r="G21" s="12">
        <f t="shared" si="1"/>
        <v>0</v>
      </c>
      <c r="K21" s="42"/>
      <c r="L21" s="42"/>
    </row>
    <row r="22" spans="1:12">
      <c r="A22" s="292"/>
      <c r="B22" s="8">
        <v>6.9444444444444406E-2</v>
      </c>
      <c r="C22" s="166">
        <f>MQ!AD22</f>
        <v>0</v>
      </c>
      <c r="D22" s="166">
        <f>(MQ!AE22)*-1</f>
        <v>0</v>
      </c>
      <c r="E22" s="167">
        <f>'RTD Sched &amp; Prices'!I21</f>
        <v>0</v>
      </c>
      <c r="F22" s="167">
        <f t="shared" si="0"/>
        <v>0</v>
      </c>
      <c r="G22" s="12">
        <f t="shared" si="1"/>
        <v>0</v>
      </c>
      <c r="K22" s="42"/>
      <c r="L22" s="42"/>
    </row>
    <row r="23" spans="1:12">
      <c r="A23" s="292"/>
      <c r="B23" s="8">
        <v>7.2916666666666602E-2</v>
      </c>
      <c r="C23" s="166">
        <f>MQ!AD23</f>
        <v>0</v>
      </c>
      <c r="D23" s="166">
        <f>(MQ!AE23)*-1</f>
        <v>0</v>
      </c>
      <c r="E23" s="167">
        <f>'RTD Sched &amp; Prices'!I22</f>
        <v>0</v>
      </c>
      <c r="F23" s="167">
        <f t="shared" si="0"/>
        <v>0</v>
      </c>
      <c r="G23" s="12">
        <f t="shared" si="1"/>
        <v>0</v>
      </c>
      <c r="K23" s="42"/>
      <c r="L23" s="42"/>
    </row>
    <row r="24" spans="1:12">
      <c r="A24" s="292"/>
      <c r="B24" s="8">
        <v>7.6388888888888895E-2</v>
      </c>
      <c r="C24" s="166">
        <f>MQ!AD24</f>
        <v>0</v>
      </c>
      <c r="D24" s="166">
        <f>(MQ!AE24)*-1</f>
        <v>0</v>
      </c>
      <c r="E24" s="167">
        <f>'RTD Sched &amp; Prices'!I23</f>
        <v>0</v>
      </c>
      <c r="F24" s="167">
        <f t="shared" si="0"/>
        <v>0</v>
      </c>
      <c r="G24" s="12">
        <f t="shared" si="1"/>
        <v>0</v>
      </c>
      <c r="K24" s="42"/>
      <c r="L24" s="42"/>
    </row>
    <row r="25" spans="1:12">
      <c r="A25" s="292"/>
      <c r="B25" s="8">
        <v>7.9861111111111105E-2</v>
      </c>
      <c r="C25" s="166">
        <f>MQ!AD25</f>
        <v>0</v>
      </c>
      <c r="D25" s="166">
        <f>(MQ!AE25)*-1</f>
        <v>0</v>
      </c>
      <c r="E25" s="167">
        <f>'RTD Sched &amp; Prices'!I24</f>
        <v>0</v>
      </c>
      <c r="F25" s="167">
        <f t="shared" si="0"/>
        <v>0</v>
      </c>
      <c r="G25" s="12">
        <f t="shared" si="1"/>
        <v>0</v>
      </c>
      <c r="K25" s="42"/>
      <c r="L25" s="42"/>
    </row>
    <row r="26" spans="1:12">
      <c r="A26" s="292"/>
      <c r="B26" s="8">
        <v>8.3333333333333301E-2</v>
      </c>
      <c r="C26" s="166">
        <f>MQ!AD26</f>
        <v>0</v>
      </c>
      <c r="D26" s="166">
        <f>(MQ!AE26)*-1</f>
        <v>0</v>
      </c>
      <c r="E26" s="167">
        <f>'RTD Sched &amp; Prices'!I25</f>
        <v>0</v>
      </c>
      <c r="F26" s="167">
        <f t="shared" si="0"/>
        <v>0</v>
      </c>
      <c r="G26" s="12">
        <f t="shared" si="1"/>
        <v>0</v>
      </c>
      <c r="H26" s="168">
        <f>SUM(F15:F26)</f>
        <v>0</v>
      </c>
      <c r="I26" s="168">
        <f>SUM(G15:G26)</f>
        <v>0</v>
      </c>
      <c r="K26" s="42"/>
      <c r="L26" s="42"/>
    </row>
    <row r="27" spans="1:12">
      <c r="A27" s="292" t="s">
        <v>4</v>
      </c>
      <c r="B27" s="8">
        <v>8.6805555555555497E-2</v>
      </c>
      <c r="C27" s="166">
        <f>MQ!AD27</f>
        <v>0</v>
      </c>
      <c r="D27" s="166">
        <f>(MQ!AE27)*-1</f>
        <v>0</v>
      </c>
      <c r="E27" s="167">
        <f>'RTD Sched &amp; Prices'!I26</f>
        <v>0</v>
      </c>
      <c r="F27" s="167">
        <f t="shared" si="0"/>
        <v>0</v>
      </c>
      <c r="G27" s="12">
        <f t="shared" si="1"/>
        <v>0</v>
      </c>
    </row>
    <row r="28" spans="1:12">
      <c r="A28" s="292"/>
      <c r="B28" s="8">
        <v>9.0277777777777804E-2</v>
      </c>
      <c r="C28" s="166">
        <f>MQ!AD28</f>
        <v>0</v>
      </c>
      <c r="D28" s="166">
        <f>(MQ!AE28)*-1</f>
        <v>0</v>
      </c>
      <c r="E28" s="167">
        <f>'RTD Sched &amp; Prices'!I27</f>
        <v>0</v>
      </c>
      <c r="F28" s="167">
        <f t="shared" si="0"/>
        <v>0</v>
      </c>
      <c r="G28" s="12">
        <f t="shared" si="1"/>
        <v>0</v>
      </c>
    </row>
    <row r="29" spans="1:12">
      <c r="A29" s="292"/>
      <c r="B29" s="8">
        <v>9.375E-2</v>
      </c>
      <c r="C29" s="166">
        <f>MQ!AD29</f>
        <v>0</v>
      </c>
      <c r="D29" s="166">
        <f>(MQ!AE29)*-1</f>
        <v>0</v>
      </c>
      <c r="E29" s="167">
        <f>'RTD Sched &amp; Prices'!I28</f>
        <v>0</v>
      </c>
      <c r="F29" s="167">
        <f t="shared" si="0"/>
        <v>0</v>
      </c>
      <c r="G29" s="12">
        <f t="shared" si="1"/>
        <v>0</v>
      </c>
    </row>
    <row r="30" spans="1:12">
      <c r="A30" s="292"/>
      <c r="B30" s="8">
        <v>9.7222222222222196E-2</v>
      </c>
      <c r="C30" s="166">
        <f>MQ!AD30</f>
        <v>0</v>
      </c>
      <c r="D30" s="166">
        <f>(MQ!AE30)*-1</f>
        <v>0</v>
      </c>
      <c r="E30" s="167">
        <f>'RTD Sched &amp; Prices'!I29</f>
        <v>0</v>
      </c>
      <c r="F30" s="167">
        <f t="shared" si="0"/>
        <v>0</v>
      </c>
      <c r="G30" s="12">
        <f t="shared" si="1"/>
        <v>0</v>
      </c>
    </row>
    <row r="31" spans="1:12">
      <c r="A31" s="292"/>
      <c r="B31" s="8">
        <v>0.100694444444444</v>
      </c>
      <c r="C31" s="166">
        <f>MQ!AD31</f>
        <v>0</v>
      </c>
      <c r="D31" s="166">
        <f>(MQ!AE31)*-1</f>
        <v>0</v>
      </c>
      <c r="E31" s="167">
        <f>'RTD Sched &amp; Prices'!I30</f>
        <v>0</v>
      </c>
      <c r="F31" s="167">
        <f t="shared" si="0"/>
        <v>0</v>
      </c>
      <c r="G31" s="12">
        <f t="shared" si="1"/>
        <v>0</v>
      </c>
    </row>
    <row r="32" spans="1:12">
      <c r="A32" s="292"/>
      <c r="B32" s="8">
        <v>0.10416666666666601</v>
      </c>
      <c r="C32" s="166">
        <f>MQ!AD32</f>
        <v>0</v>
      </c>
      <c r="D32" s="166">
        <f>(MQ!AE32)*-1</f>
        <v>0</v>
      </c>
      <c r="E32" s="167">
        <f>'RTD Sched &amp; Prices'!I31</f>
        <v>0</v>
      </c>
      <c r="F32" s="167">
        <f t="shared" si="0"/>
        <v>0</v>
      </c>
      <c r="G32" s="12">
        <f t="shared" si="1"/>
        <v>0</v>
      </c>
    </row>
    <row r="33" spans="1:9">
      <c r="A33" s="292"/>
      <c r="B33" s="8">
        <v>0.10763888888888901</v>
      </c>
      <c r="C33" s="166">
        <f>MQ!AD33</f>
        <v>0</v>
      </c>
      <c r="D33" s="166">
        <f>(MQ!AE33)*-1</f>
        <v>0</v>
      </c>
      <c r="E33" s="167">
        <f>'RTD Sched &amp; Prices'!I32</f>
        <v>0</v>
      </c>
      <c r="F33" s="167">
        <f t="shared" si="0"/>
        <v>0</v>
      </c>
      <c r="G33" s="12">
        <f t="shared" si="1"/>
        <v>0</v>
      </c>
    </row>
    <row r="34" spans="1:9">
      <c r="A34" s="292"/>
      <c r="B34" s="8">
        <v>0.11111111111111099</v>
      </c>
      <c r="C34" s="166">
        <f>MQ!AD34</f>
        <v>0</v>
      </c>
      <c r="D34" s="166">
        <f>(MQ!AE34)*-1</f>
        <v>0</v>
      </c>
      <c r="E34" s="167">
        <f>'RTD Sched &amp; Prices'!I33</f>
        <v>0</v>
      </c>
      <c r="F34" s="167">
        <f t="shared" si="0"/>
        <v>0</v>
      </c>
      <c r="G34" s="12">
        <f t="shared" si="1"/>
        <v>0</v>
      </c>
    </row>
    <row r="35" spans="1:9">
      <c r="A35" s="292"/>
      <c r="B35" s="8">
        <v>0.114583333333333</v>
      </c>
      <c r="C35" s="166">
        <f>MQ!AD35</f>
        <v>0</v>
      </c>
      <c r="D35" s="166">
        <f>(MQ!AE35)*-1</f>
        <v>0</v>
      </c>
      <c r="E35" s="167">
        <f>'RTD Sched &amp; Prices'!I34</f>
        <v>0</v>
      </c>
      <c r="F35" s="167">
        <f t="shared" si="0"/>
        <v>0</v>
      </c>
      <c r="G35" s="12">
        <f t="shared" si="1"/>
        <v>0</v>
      </c>
    </row>
    <row r="36" spans="1:9">
      <c r="A36" s="292"/>
      <c r="B36" s="8">
        <v>0.118055555555555</v>
      </c>
      <c r="C36" s="166">
        <f>MQ!AD36</f>
        <v>0</v>
      </c>
      <c r="D36" s="166">
        <f>(MQ!AE36)*-1</f>
        <v>0</v>
      </c>
      <c r="E36" s="167">
        <f>'RTD Sched &amp; Prices'!I35</f>
        <v>0</v>
      </c>
      <c r="F36" s="167">
        <f t="shared" si="0"/>
        <v>0</v>
      </c>
      <c r="G36" s="12">
        <f t="shared" si="1"/>
        <v>0</v>
      </c>
    </row>
    <row r="37" spans="1:9">
      <c r="A37" s="292"/>
      <c r="B37" s="8">
        <v>0.121527777777778</v>
      </c>
      <c r="C37" s="166">
        <f>MQ!AD37</f>
        <v>0</v>
      </c>
      <c r="D37" s="166">
        <f>(MQ!AE37)*-1</f>
        <v>0</v>
      </c>
      <c r="E37" s="167">
        <f>'RTD Sched &amp; Prices'!I36</f>
        <v>0</v>
      </c>
      <c r="F37" s="167">
        <f t="shared" si="0"/>
        <v>0</v>
      </c>
      <c r="G37" s="12">
        <f t="shared" si="1"/>
        <v>0</v>
      </c>
    </row>
    <row r="38" spans="1:9">
      <c r="A38" s="292"/>
      <c r="B38" s="8">
        <v>0.125</v>
      </c>
      <c r="C38" s="166">
        <f>MQ!AD38</f>
        <v>0</v>
      </c>
      <c r="D38" s="166">
        <f>(MQ!AE38)*-1</f>
        <v>0</v>
      </c>
      <c r="E38" s="167">
        <f>'RTD Sched &amp; Prices'!I37</f>
        <v>0</v>
      </c>
      <c r="F38" s="167">
        <f t="shared" si="0"/>
        <v>0</v>
      </c>
      <c r="G38" s="12">
        <f t="shared" si="1"/>
        <v>0</v>
      </c>
      <c r="H38" s="168">
        <f>SUM(F27:F38)</f>
        <v>0</v>
      </c>
      <c r="I38" s="168">
        <f>SUM(G27:G38)</f>
        <v>0</v>
      </c>
    </row>
    <row r="39" spans="1:9">
      <c r="A39" s="292" t="s">
        <v>5</v>
      </c>
      <c r="B39" s="8">
        <v>0.12847222222222199</v>
      </c>
      <c r="C39" s="166">
        <f>MQ!AD39</f>
        <v>0</v>
      </c>
      <c r="D39" s="166">
        <f>(MQ!AE39)*-1</f>
        <v>0</v>
      </c>
      <c r="E39" s="167">
        <f>'RTD Sched &amp; Prices'!I38</f>
        <v>0</v>
      </c>
      <c r="F39" s="167">
        <f t="shared" si="0"/>
        <v>0</v>
      </c>
      <c r="G39" s="12">
        <f t="shared" si="1"/>
        <v>0</v>
      </c>
    </row>
    <row r="40" spans="1:9">
      <c r="A40" s="292"/>
      <c r="B40" s="8">
        <v>0.131944444444444</v>
      </c>
      <c r="C40" s="166">
        <f>MQ!AD40</f>
        <v>0</v>
      </c>
      <c r="D40" s="166">
        <f>(MQ!AE40)*-1</f>
        <v>0</v>
      </c>
      <c r="E40" s="167">
        <f>'RTD Sched &amp; Prices'!I39</f>
        <v>0</v>
      </c>
      <c r="F40" s="167">
        <f t="shared" si="0"/>
        <v>0</v>
      </c>
      <c r="G40" s="12">
        <f t="shared" si="1"/>
        <v>0</v>
      </c>
    </row>
    <row r="41" spans="1:9">
      <c r="A41" s="292"/>
      <c r="B41" s="8">
        <v>0.13541666666666599</v>
      </c>
      <c r="C41" s="166">
        <f>MQ!AD41</f>
        <v>0</v>
      </c>
      <c r="D41" s="166">
        <f>(MQ!AE41)*-1</f>
        <v>0</v>
      </c>
      <c r="E41" s="167">
        <f>'RTD Sched &amp; Prices'!I40</f>
        <v>0</v>
      </c>
      <c r="F41" s="167">
        <f t="shared" si="0"/>
        <v>0</v>
      </c>
      <c r="G41" s="12">
        <f t="shared" si="1"/>
        <v>0</v>
      </c>
    </row>
    <row r="42" spans="1:9">
      <c r="A42" s="292"/>
      <c r="B42" s="8">
        <v>0.13888888888888901</v>
      </c>
      <c r="C42" s="166">
        <f>MQ!AD42</f>
        <v>0</v>
      </c>
      <c r="D42" s="166">
        <f>(MQ!AE42)*-1</f>
        <v>0</v>
      </c>
      <c r="E42" s="167">
        <f>'RTD Sched &amp; Prices'!I41</f>
        <v>0</v>
      </c>
      <c r="F42" s="167">
        <f t="shared" si="0"/>
        <v>0</v>
      </c>
      <c r="G42" s="12">
        <f t="shared" si="1"/>
        <v>0</v>
      </c>
    </row>
    <row r="43" spans="1:9">
      <c r="A43" s="292"/>
      <c r="B43" s="8">
        <v>0.14236111111111099</v>
      </c>
      <c r="C43" s="166">
        <f>MQ!AD43</f>
        <v>0</v>
      </c>
      <c r="D43" s="166">
        <f>(MQ!AE43)*-1</f>
        <v>0</v>
      </c>
      <c r="E43" s="167">
        <f>'RTD Sched &amp; Prices'!I42</f>
        <v>0</v>
      </c>
      <c r="F43" s="167">
        <f t="shared" si="0"/>
        <v>0</v>
      </c>
      <c r="G43" s="12">
        <f t="shared" si="1"/>
        <v>0</v>
      </c>
    </row>
    <row r="44" spans="1:9">
      <c r="A44" s="292"/>
      <c r="B44" s="8">
        <v>0.14583333333333301</v>
      </c>
      <c r="C44" s="166">
        <f>MQ!AD44</f>
        <v>0</v>
      </c>
      <c r="D44" s="166">
        <f>(MQ!AE44)*-1</f>
        <v>0</v>
      </c>
      <c r="E44" s="167">
        <f>'RTD Sched &amp; Prices'!I43</f>
        <v>0</v>
      </c>
      <c r="F44" s="167">
        <f t="shared" si="0"/>
        <v>0</v>
      </c>
      <c r="G44" s="12">
        <f t="shared" si="1"/>
        <v>0</v>
      </c>
    </row>
    <row r="45" spans="1:9">
      <c r="A45" s="292"/>
      <c r="B45" s="8">
        <v>0.149305555555555</v>
      </c>
      <c r="C45" s="166">
        <f>MQ!AD45</f>
        <v>0</v>
      </c>
      <c r="D45" s="166">
        <f>(MQ!AE45)*-1</f>
        <v>0</v>
      </c>
      <c r="E45" s="167">
        <f>'RTD Sched &amp; Prices'!I44</f>
        <v>0</v>
      </c>
      <c r="F45" s="167">
        <f t="shared" si="0"/>
        <v>0</v>
      </c>
      <c r="G45" s="12">
        <f t="shared" si="1"/>
        <v>0</v>
      </c>
    </row>
    <row r="46" spans="1:9">
      <c r="A46" s="292"/>
      <c r="B46" s="8">
        <v>0.15277777777777801</v>
      </c>
      <c r="C46" s="166">
        <f>MQ!AD46</f>
        <v>0</v>
      </c>
      <c r="D46" s="166">
        <f>(MQ!AE46)*-1</f>
        <v>0</v>
      </c>
      <c r="E46" s="167">
        <f>'RTD Sched &amp; Prices'!I45</f>
        <v>0</v>
      </c>
      <c r="F46" s="167">
        <f t="shared" si="0"/>
        <v>0</v>
      </c>
      <c r="G46" s="12">
        <f t="shared" si="1"/>
        <v>0</v>
      </c>
    </row>
    <row r="47" spans="1:9">
      <c r="A47" s="292"/>
      <c r="B47" s="8">
        <v>0.15625</v>
      </c>
      <c r="C47" s="166">
        <f>MQ!AD47</f>
        <v>0</v>
      </c>
      <c r="D47" s="166">
        <f>(MQ!AE47)*-1</f>
        <v>0</v>
      </c>
      <c r="E47" s="167">
        <f>'RTD Sched &amp; Prices'!I46</f>
        <v>0</v>
      </c>
      <c r="F47" s="167">
        <f t="shared" si="0"/>
        <v>0</v>
      </c>
      <c r="G47" s="12">
        <f t="shared" si="1"/>
        <v>0</v>
      </c>
    </row>
    <row r="48" spans="1:9">
      <c r="A48" s="292"/>
      <c r="B48" s="8">
        <v>0.15972222222222199</v>
      </c>
      <c r="C48" s="166">
        <f>MQ!AD48</f>
        <v>0</v>
      </c>
      <c r="D48" s="166">
        <f>(MQ!AE48)*-1</f>
        <v>0</v>
      </c>
      <c r="E48" s="167">
        <f>'RTD Sched &amp; Prices'!I47</f>
        <v>0</v>
      </c>
      <c r="F48" s="167">
        <f t="shared" si="0"/>
        <v>0</v>
      </c>
      <c r="G48" s="12">
        <f t="shared" si="1"/>
        <v>0</v>
      </c>
    </row>
    <row r="49" spans="1:9">
      <c r="A49" s="292"/>
      <c r="B49" s="8">
        <v>0.163194444444444</v>
      </c>
      <c r="C49" s="166">
        <f>MQ!AD49</f>
        <v>0</v>
      </c>
      <c r="D49" s="166">
        <f>(MQ!AE49)*-1</f>
        <v>0</v>
      </c>
      <c r="E49" s="167">
        <f>'RTD Sched &amp; Prices'!I48</f>
        <v>0</v>
      </c>
      <c r="F49" s="167">
        <f t="shared" si="0"/>
        <v>0</v>
      </c>
      <c r="G49" s="12">
        <f t="shared" si="1"/>
        <v>0</v>
      </c>
    </row>
    <row r="50" spans="1:9">
      <c r="A50" s="292"/>
      <c r="B50" s="8">
        <v>0.16666666666666599</v>
      </c>
      <c r="C50" s="166">
        <f>MQ!AD50</f>
        <v>0</v>
      </c>
      <c r="D50" s="166">
        <f>(MQ!AE50)*-1</f>
        <v>0</v>
      </c>
      <c r="E50" s="167">
        <f>'RTD Sched &amp; Prices'!I49</f>
        <v>0</v>
      </c>
      <c r="F50" s="167">
        <f t="shared" si="0"/>
        <v>0</v>
      </c>
      <c r="G50" s="12">
        <f t="shared" si="1"/>
        <v>0</v>
      </c>
      <c r="H50" s="168">
        <f>SUM(F39:F50)</f>
        <v>0</v>
      </c>
      <c r="I50" s="168">
        <f>SUM(G39:G50)</f>
        <v>0</v>
      </c>
    </row>
    <row r="51" spans="1:9">
      <c r="A51" s="292" t="s">
        <v>6</v>
      </c>
      <c r="B51" s="8">
        <v>0.17013888888888901</v>
      </c>
      <c r="C51" s="166">
        <f>MQ!AD51</f>
        <v>0</v>
      </c>
      <c r="D51" s="166">
        <f>(MQ!AE51)*-1</f>
        <v>0</v>
      </c>
      <c r="E51" s="167">
        <f>'RTD Sched &amp; Prices'!I50</f>
        <v>0</v>
      </c>
      <c r="F51" s="167">
        <f t="shared" si="0"/>
        <v>0</v>
      </c>
      <c r="G51" s="12">
        <f t="shared" si="1"/>
        <v>0</v>
      </c>
    </row>
    <row r="52" spans="1:9">
      <c r="A52" s="292"/>
      <c r="B52" s="8">
        <v>0.17361111111111099</v>
      </c>
      <c r="C52" s="166">
        <f>MQ!AD52</f>
        <v>0</v>
      </c>
      <c r="D52" s="166">
        <f>(MQ!AE52)*-1</f>
        <v>0</v>
      </c>
      <c r="E52" s="167">
        <f>'RTD Sched &amp; Prices'!I51</f>
        <v>0</v>
      </c>
      <c r="F52" s="167">
        <f t="shared" si="0"/>
        <v>0</v>
      </c>
      <c r="G52" s="12">
        <f t="shared" si="1"/>
        <v>0</v>
      </c>
    </row>
    <row r="53" spans="1:9">
      <c r="A53" s="292"/>
      <c r="B53" s="8">
        <v>0.17708333333333301</v>
      </c>
      <c r="C53" s="166">
        <f>MQ!AD53</f>
        <v>0</v>
      </c>
      <c r="D53" s="166">
        <f>(MQ!AE53)*-1</f>
        <v>0</v>
      </c>
      <c r="E53" s="167">
        <f>'RTD Sched &amp; Prices'!I52</f>
        <v>0</v>
      </c>
      <c r="F53" s="167">
        <f t="shared" si="0"/>
        <v>0</v>
      </c>
      <c r="G53" s="12">
        <f t="shared" si="1"/>
        <v>0</v>
      </c>
    </row>
    <row r="54" spans="1:9">
      <c r="A54" s="292"/>
      <c r="B54" s="8">
        <v>0.180555555555555</v>
      </c>
      <c r="C54" s="166">
        <f>MQ!AD54</f>
        <v>0</v>
      </c>
      <c r="D54" s="166">
        <f>(MQ!AE54)*-1</f>
        <v>0</v>
      </c>
      <c r="E54" s="167">
        <f>'RTD Sched &amp; Prices'!I53</f>
        <v>0</v>
      </c>
      <c r="F54" s="167">
        <f t="shared" si="0"/>
        <v>0</v>
      </c>
      <c r="G54" s="12">
        <f t="shared" si="1"/>
        <v>0</v>
      </c>
    </row>
    <row r="55" spans="1:9">
      <c r="A55" s="292"/>
      <c r="B55" s="8">
        <v>0.18402777777777801</v>
      </c>
      <c r="C55" s="166">
        <f>MQ!AD55</f>
        <v>0</v>
      </c>
      <c r="D55" s="166">
        <f>(MQ!AE55)*-1</f>
        <v>0</v>
      </c>
      <c r="E55" s="167">
        <f>'RTD Sched &amp; Prices'!I54</f>
        <v>0</v>
      </c>
      <c r="F55" s="167">
        <f t="shared" si="0"/>
        <v>0</v>
      </c>
      <c r="G55" s="12">
        <f t="shared" si="1"/>
        <v>0</v>
      </c>
    </row>
    <row r="56" spans="1:9">
      <c r="A56" s="292"/>
      <c r="B56" s="8">
        <v>0.1875</v>
      </c>
      <c r="C56" s="166">
        <f>MQ!AD56</f>
        <v>0</v>
      </c>
      <c r="D56" s="166">
        <f>(MQ!AE56)*-1</f>
        <v>0</v>
      </c>
      <c r="E56" s="167">
        <f>'RTD Sched &amp; Prices'!I55</f>
        <v>0</v>
      </c>
      <c r="F56" s="167">
        <f t="shared" si="0"/>
        <v>0</v>
      </c>
      <c r="G56" s="12">
        <f t="shared" si="1"/>
        <v>0</v>
      </c>
    </row>
    <row r="57" spans="1:9">
      <c r="A57" s="292"/>
      <c r="B57" s="8">
        <v>0.19097222222222199</v>
      </c>
      <c r="C57" s="166">
        <f>MQ!AD57</f>
        <v>0</v>
      </c>
      <c r="D57" s="166">
        <f>(MQ!AE57)*-1</f>
        <v>0</v>
      </c>
      <c r="E57" s="167">
        <f>'RTD Sched &amp; Prices'!I56</f>
        <v>0</v>
      </c>
      <c r="F57" s="167">
        <f t="shared" si="0"/>
        <v>0</v>
      </c>
      <c r="G57" s="12">
        <f t="shared" si="1"/>
        <v>0</v>
      </c>
    </row>
    <row r="58" spans="1:9">
      <c r="A58" s="292"/>
      <c r="B58" s="8">
        <v>0.194444444444444</v>
      </c>
      <c r="C58" s="166">
        <f>MQ!AD58</f>
        <v>0</v>
      </c>
      <c r="D58" s="166">
        <f>(MQ!AE58)*-1</f>
        <v>0</v>
      </c>
      <c r="E58" s="167">
        <f>'RTD Sched &amp; Prices'!I57</f>
        <v>0</v>
      </c>
      <c r="F58" s="167">
        <f t="shared" si="0"/>
        <v>0</v>
      </c>
      <c r="G58" s="12">
        <f t="shared" si="1"/>
        <v>0</v>
      </c>
    </row>
    <row r="59" spans="1:9">
      <c r="A59" s="292"/>
      <c r="B59" s="8">
        <v>0.19791666666666599</v>
      </c>
      <c r="C59" s="166">
        <f>MQ!AD59</f>
        <v>0</v>
      </c>
      <c r="D59" s="166">
        <f>(MQ!AE59)*-1</f>
        <v>0</v>
      </c>
      <c r="E59" s="167">
        <f>'RTD Sched &amp; Prices'!I58</f>
        <v>0</v>
      </c>
      <c r="F59" s="167">
        <f t="shared" si="0"/>
        <v>0</v>
      </c>
      <c r="G59" s="12">
        <f t="shared" si="1"/>
        <v>0</v>
      </c>
    </row>
    <row r="60" spans="1:9">
      <c r="A60" s="292"/>
      <c r="B60" s="8">
        <v>0.20138888888888901</v>
      </c>
      <c r="C60" s="166">
        <f>MQ!AD60</f>
        <v>0</v>
      </c>
      <c r="D60" s="166">
        <f>(MQ!AE60)*-1</f>
        <v>0</v>
      </c>
      <c r="E60" s="167">
        <f>'RTD Sched &amp; Prices'!I59</f>
        <v>0</v>
      </c>
      <c r="F60" s="167">
        <f t="shared" si="0"/>
        <v>0</v>
      </c>
      <c r="G60" s="12">
        <f t="shared" si="1"/>
        <v>0</v>
      </c>
    </row>
    <row r="61" spans="1:9">
      <c r="A61" s="292"/>
      <c r="B61" s="8">
        <v>0.20486111111111099</v>
      </c>
      <c r="C61" s="166">
        <f>MQ!AD61</f>
        <v>0</v>
      </c>
      <c r="D61" s="166">
        <f>(MQ!AE61)*-1</f>
        <v>0</v>
      </c>
      <c r="E61" s="167">
        <f>'RTD Sched &amp; Prices'!I60</f>
        <v>0</v>
      </c>
      <c r="F61" s="167">
        <f t="shared" si="0"/>
        <v>0</v>
      </c>
      <c r="G61" s="12">
        <f t="shared" si="1"/>
        <v>0</v>
      </c>
    </row>
    <row r="62" spans="1:9">
      <c r="A62" s="292"/>
      <c r="B62" s="8">
        <v>0.20833333333333301</v>
      </c>
      <c r="C62" s="166">
        <f>MQ!AD62</f>
        <v>0</v>
      </c>
      <c r="D62" s="166">
        <f>(MQ!AE62)*-1</f>
        <v>0</v>
      </c>
      <c r="E62" s="167">
        <f>'RTD Sched &amp; Prices'!I61</f>
        <v>0</v>
      </c>
      <c r="F62" s="167">
        <f t="shared" si="0"/>
        <v>0</v>
      </c>
      <c r="G62" s="12">
        <f t="shared" si="1"/>
        <v>0</v>
      </c>
      <c r="H62" s="168">
        <f>SUM(F51:F62)</f>
        <v>0</v>
      </c>
      <c r="I62" s="168">
        <f>SUM(G51:G62)</f>
        <v>0</v>
      </c>
    </row>
    <row r="63" spans="1:9">
      <c r="A63" s="292" t="s">
        <v>7</v>
      </c>
      <c r="B63" s="8">
        <v>0.211805555555555</v>
      </c>
      <c r="C63" s="166">
        <f>MQ!AD63</f>
        <v>0</v>
      </c>
      <c r="D63" s="166">
        <f>(MQ!AE63)*-1</f>
        <v>0</v>
      </c>
      <c r="E63" s="167">
        <f>'RTD Sched &amp; Prices'!I62</f>
        <v>0</v>
      </c>
      <c r="F63" s="167">
        <f t="shared" si="0"/>
        <v>0</v>
      </c>
      <c r="G63" s="12">
        <f t="shared" si="1"/>
        <v>0</v>
      </c>
    </row>
    <row r="64" spans="1:9">
      <c r="A64" s="292"/>
      <c r="B64" s="8">
        <v>0.21527777777777801</v>
      </c>
      <c r="C64" s="166">
        <f>MQ!AD64</f>
        <v>0</v>
      </c>
      <c r="D64" s="166">
        <f>(MQ!AE64)*-1</f>
        <v>0</v>
      </c>
      <c r="E64" s="167">
        <f>'RTD Sched &amp; Prices'!I63</f>
        <v>0</v>
      </c>
      <c r="F64" s="167">
        <f t="shared" si="0"/>
        <v>0</v>
      </c>
      <c r="G64" s="12">
        <f t="shared" si="1"/>
        <v>0</v>
      </c>
    </row>
    <row r="65" spans="1:9">
      <c r="A65" s="292"/>
      <c r="B65" s="8">
        <v>0.21875</v>
      </c>
      <c r="C65" s="166">
        <f>MQ!AD65</f>
        <v>0</v>
      </c>
      <c r="D65" s="166">
        <f>(MQ!AE65)*-1</f>
        <v>0</v>
      </c>
      <c r="E65" s="167">
        <f>'RTD Sched &amp; Prices'!I64</f>
        <v>0</v>
      </c>
      <c r="F65" s="167">
        <f t="shared" si="0"/>
        <v>0</v>
      </c>
      <c r="G65" s="12">
        <f t="shared" si="1"/>
        <v>0</v>
      </c>
    </row>
    <row r="66" spans="1:9">
      <c r="A66" s="292"/>
      <c r="B66" s="8">
        <v>0.22222222222222199</v>
      </c>
      <c r="C66" s="166">
        <f>MQ!AD66</f>
        <v>0</v>
      </c>
      <c r="D66" s="166">
        <f>(MQ!AE66)*-1</f>
        <v>0</v>
      </c>
      <c r="E66" s="167">
        <f>'RTD Sched &amp; Prices'!I65</f>
        <v>0</v>
      </c>
      <c r="F66" s="167">
        <f t="shared" si="0"/>
        <v>0</v>
      </c>
      <c r="G66" s="12">
        <f t="shared" si="1"/>
        <v>0</v>
      </c>
    </row>
    <row r="67" spans="1:9">
      <c r="A67" s="292"/>
      <c r="B67" s="8">
        <v>0.225694444444444</v>
      </c>
      <c r="C67" s="166">
        <f>MQ!AD67</f>
        <v>0</v>
      </c>
      <c r="D67" s="166">
        <f>(MQ!AE67)*-1</f>
        <v>0</v>
      </c>
      <c r="E67" s="167">
        <f>'RTD Sched &amp; Prices'!I66</f>
        <v>0</v>
      </c>
      <c r="F67" s="167">
        <f t="shared" si="0"/>
        <v>0</v>
      </c>
      <c r="G67" s="12">
        <f t="shared" si="1"/>
        <v>0</v>
      </c>
    </row>
    <row r="68" spans="1:9">
      <c r="A68" s="292"/>
      <c r="B68" s="8">
        <v>0.22916666666666599</v>
      </c>
      <c r="C68" s="166">
        <f>MQ!AD68</f>
        <v>0</v>
      </c>
      <c r="D68" s="166">
        <f>(MQ!AE68)*-1</f>
        <v>0</v>
      </c>
      <c r="E68" s="167">
        <f>'RTD Sched &amp; Prices'!I67</f>
        <v>0</v>
      </c>
      <c r="F68" s="167">
        <f t="shared" ref="F68:F131" si="2">C68*E68</f>
        <v>0</v>
      </c>
      <c r="G68" s="12">
        <f t="shared" ref="G68:G131" si="3">D68*E68</f>
        <v>0</v>
      </c>
    </row>
    <row r="69" spans="1:9">
      <c r="A69" s="292"/>
      <c r="B69" s="8">
        <v>0.23263888888888901</v>
      </c>
      <c r="C69" s="166">
        <f>MQ!AD69</f>
        <v>0</v>
      </c>
      <c r="D69" s="166">
        <f>(MQ!AE69)*-1</f>
        <v>0</v>
      </c>
      <c r="E69" s="167">
        <f>'RTD Sched &amp; Prices'!I68</f>
        <v>0</v>
      </c>
      <c r="F69" s="167">
        <f t="shared" si="2"/>
        <v>0</v>
      </c>
      <c r="G69" s="12">
        <f t="shared" si="3"/>
        <v>0</v>
      </c>
    </row>
    <row r="70" spans="1:9">
      <c r="A70" s="292"/>
      <c r="B70" s="8">
        <v>0.23611111111111099</v>
      </c>
      <c r="C70" s="166">
        <f>MQ!AD70</f>
        <v>0</v>
      </c>
      <c r="D70" s="166">
        <f>(MQ!AE70)*-1</f>
        <v>0</v>
      </c>
      <c r="E70" s="167">
        <f>'RTD Sched &amp; Prices'!I69</f>
        <v>0</v>
      </c>
      <c r="F70" s="167">
        <f t="shared" si="2"/>
        <v>0</v>
      </c>
      <c r="G70" s="12">
        <f t="shared" si="3"/>
        <v>0</v>
      </c>
    </row>
    <row r="71" spans="1:9">
      <c r="A71" s="292"/>
      <c r="B71" s="8">
        <v>0.23958333333333301</v>
      </c>
      <c r="C71" s="166">
        <f>MQ!AD71</f>
        <v>0</v>
      </c>
      <c r="D71" s="166">
        <f>(MQ!AE71)*-1</f>
        <v>0</v>
      </c>
      <c r="E71" s="167">
        <f>'RTD Sched &amp; Prices'!I70</f>
        <v>0</v>
      </c>
      <c r="F71" s="167">
        <f t="shared" si="2"/>
        <v>0</v>
      </c>
      <c r="G71" s="12">
        <f t="shared" si="3"/>
        <v>0</v>
      </c>
    </row>
    <row r="72" spans="1:9">
      <c r="A72" s="292"/>
      <c r="B72" s="8">
        <v>0.243055555555555</v>
      </c>
      <c r="C72" s="166">
        <f>MQ!AD72</f>
        <v>0</v>
      </c>
      <c r="D72" s="166">
        <f>(MQ!AE72)*-1</f>
        <v>0</v>
      </c>
      <c r="E72" s="167">
        <f>'RTD Sched &amp; Prices'!I71</f>
        <v>0</v>
      </c>
      <c r="F72" s="167">
        <f t="shared" si="2"/>
        <v>0</v>
      </c>
      <c r="G72" s="12">
        <f t="shared" si="3"/>
        <v>0</v>
      </c>
    </row>
    <row r="73" spans="1:9">
      <c r="A73" s="292"/>
      <c r="B73" s="8">
        <v>0.24652777777777801</v>
      </c>
      <c r="C73" s="166">
        <f>MQ!AD73</f>
        <v>0</v>
      </c>
      <c r="D73" s="166">
        <f>(MQ!AE73)*-1</f>
        <v>0</v>
      </c>
      <c r="E73" s="167">
        <f>'RTD Sched &amp; Prices'!I72</f>
        <v>0</v>
      </c>
      <c r="F73" s="167">
        <f t="shared" si="2"/>
        <v>0</v>
      </c>
      <c r="G73" s="12">
        <f t="shared" si="3"/>
        <v>0</v>
      </c>
    </row>
    <row r="74" spans="1:9">
      <c r="A74" s="292"/>
      <c r="B74" s="8">
        <v>0.25</v>
      </c>
      <c r="C74" s="166">
        <f>MQ!AD74</f>
        <v>0</v>
      </c>
      <c r="D74" s="166">
        <f>(MQ!AE74)*-1</f>
        <v>0</v>
      </c>
      <c r="E74" s="167">
        <f>'RTD Sched &amp; Prices'!I73</f>
        <v>0</v>
      </c>
      <c r="F74" s="167">
        <f t="shared" si="2"/>
        <v>0</v>
      </c>
      <c r="G74" s="12">
        <f t="shared" si="3"/>
        <v>0</v>
      </c>
      <c r="H74" s="168">
        <f>SUM(F63:F74)</f>
        <v>0</v>
      </c>
      <c r="I74" s="168">
        <f>SUM(G63:G74)</f>
        <v>0</v>
      </c>
    </row>
    <row r="75" spans="1:9">
      <c r="A75" s="292" t="s">
        <v>8</v>
      </c>
      <c r="B75" s="8">
        <v>0.25347222222222199</v>
      </c>
      <c r="C75" s="166">
        <f>MQ!AD75</f>
        <v>0</v>
      </c>
      <c r="D75" s="166">
        <f>(MQ!AE75)*-1</f>
        <v>0</v>
      </c>
      <c r="E75" s="167">
        <f>'RTD Sched &amp; Prices'!I74</f>
        <v>0</v>
      </c>
      <c r="F75" s="167">
        <f t="shared" si="2"/>
        <v>0</v>
      </c>
      <c r="G75" s="12">
        <f t="shared" si="3"/>
        <v>0</v>
      </c>
    </row>
    <row r="76" spans="1:9">
      <c r="A76" s="292"/>
      <c r="B76" s="8">
        <v>0.25694444444444398</v>
      </c>
      <c r="C76" s="166">
        <f>MQ!AD76</f>
        <v>0</v>
      </c>
      <c r="D76" s="166">
        <f>(MQ!AE76)*-1</f>
        <v>0</v>
      </c>
      <c r="E76" s="167">
        <f>'RTD Sched &amp; Prices'!I75</f>
        <v>0</v>
      </c>
      <c r="F76" s="167">
        <f t="shared" si="2"/>
        <v>0</v>
      </c>
      <c r="G76" s="12">
        <f t="shared" si="3"/>
        <v>0</v>
      </c>
    </row>
    <row r="77" spans="1:9">
      <c r="A77" s="292"/>
      <c r="B77" s="8">
        <v>0.26041666666666602</v>
      </c>
      <c r="C77" s="166">
        <f>MQ!AD77</f>
        <v>0</v>
      </c>
      <c r="D77" s="166">
        <f>(MQ!AE77)*-1</f>
        <v>0</v>
      </c>
      <c r="E77" s="167">
        <f>'RTD Sched &amp; Prices'!I76</f>
        <v>0</v>
      </c>
      <c r="F77" s="167">
        <f t="shared" si="2"/>
        <v>0</v>
      </c>
      <c r="G77" s="12">
        <f t="shared" si="3"/>
        <v>0</v>
      </c>
    </row>
    <row r="78" spans="1:9">
      <c r="A78" s="292"/>
      <c r="B78" s="8">
        <v>0.26388888888888901</v>
      </c>
      <c r="C78" s="166">
        <f>MQ!AD78</f>
        <v>0</v>
      </c>
      <c r="D78" s="166">
        <f>(MQ!AE78)*-1</f>
        <v>0</v>
      </c>
      <c r="E78" s="167">
        <f>'RTD Sched &amp; Prices'!I77</f>
        <v>0</v>
      </c>
      <c r="F78" s="167">
        <f t="shared" si="2"/>
        <v>0</v>
      </c>
      <c r="G78" s="12">
        <f t="shared" si="3"/>
        <v>0</v>
      </c>
    </row>
    <row r="79" spans="1:9">
      <c r="A79" s="292"/>
      <c r="B79" s="8">
        <v>0.26736111111111099</v>
      </c>
      <c r="C79" s="166">
        <f>MQ!AD79</f>
        <v>0</v>
      </c>
      <c r="D79" s="166">
        <f>(MQ!AE79)*-1</f>
        <v>0</v>
      </c>
      <c r="E79" s="167">
        <f>'RTD Sched &amp; Prices'!I78</f>
        <v>0</v>
      </c>
      <c r="F79" s="167">
        <f t="shared" si="2"/>
        <v>0</v>
      </c>
      <c r="G79" s="12">
        <f t="shared" si="3"/>
        <v>0</v>
      </c>
    </row>
    <row r="80" spans="1:9">
      <c r="A80" s="292"/>
      <c r="B80" s="8">
        <v>0.27083333333333298</v>
      </c>
      <c r="C80" s="166">
        <f>MQ!AD80</f>
        <v>0</v>
      </c>
      <c r="D80" s="166">
        <f>(MQ!AE80)*-1</f>
        <v>0</v>
      </c>
      <c r="E80" s="167">
        <f>'RTD Sched &amp; Prices'!I79</f>
        <v>0</v>
      </c>
      <c r="F80" s="167">
        <f t="shared" si="2"/>
        <v>0</v>
      </c>
      <c r="G80" s="12">
        <f t="shared" si="3"/>
        <v>0</v>
      </c>
    </row>
    <row r="81" spans="1:9">
      <c r="A81" s="292"/>
      <c r="B81" s="8">
        <v>0.27430555555555503</v>
      </c>
      <c r="C81" s="166">
        <f>MQ!AD81</f>
        <v>0</v>
      </c>
      <c r="D81" s="166">
        <f>(MQ!AE81)*-1</f>
        <v>0</v>
      </c>
      <c r="E81" s="167">
        <f>'RTD Sched &amp; Prices'!I80</f>
        <v>0</v>
      </c>
      <c r="F81" s="167">
        <f t="shared" si="2"/>
        <v>0</v>
      </c>
      <c r="G81" s="12">
        <f t="shared" si="3"/>
        <v>0</v>
      </c>
    </row>
    <row r="82" spans="1:9">
      <c r="A82" s="292"/>
      <c r="B82" s="8">
        <v>0.27777777777777801</v>
      </c>
      <c r="C82" s="166">
        <f>MQ!AD82</f>
        <v>0</v>
      </c>
      <c r="D82" s="166">
        <f>(MQ!AE82)*-1</f>
        <v>0</v>
      </c>
      <c r="E82" s="167">
        <f>'RTD Sched &amp; Prices'!I81</f>
        <v>0</v>
      </c>
      <c r="F82" s="167">
        <f t="shared" si="2"/>
        <v>0</v>
      </c>
      <c r="G82" s="12">
        <f t="shared" si="3"/>
        <v>0</v>
      </c>
    </row>
    <row r="83" spans="1:9">
      <c r="A83" s="292"/>
      <c r="B83" s="8">
        <v>0.28125</v>
      </c>
      <c r="C83" s="166">
        <f>MQ!AD83</f>
        <v>0</v>
      </c>
      <c r="D83" s="166">
        <f>(MQ!AE83)*-1</f>
        <v>0</v>
      </c>
      <c r="E83" s="167">
        <f>'RTD Sched &amp; Prices'!I82</f>
        <v>0</v>
      </c>
      <c r="F83" s="167">
        <f t="shared" si="2"/>
        <v>0</v>
      </c>
      <c r="G83" s="12">
        <f t="shared" si="3"/>
        <v>0</v>
      </c>
    </row>
    <row r="84" spans="1:9">
      <c r="A84" s="292"/>
      <c r="B84" s="8">
        <v>0.28472222222222199</v>
      </c>
      <c r="C84" s="166">
        <f>MQ!AD84</f>
        <v>0</v>
      </c>
      <c r="D84" s="166">
        <f>(MQ!AE84)*-1</f>
        <v>0</v>
      </c>
      <c r="E84" s="167">
        <f>'RTD Sched &amp; Prices'!I83</f>
        <v>0</v>
      </c>
      <c r="F84" s="167">
        <f t="shared" si="2"/>
        <v>0</v>
      </c>
      <c r="G84" s="12">
        <f t="shared" si="3"/>
        <v>0</v>
      </c>
    </row>
    <row r="85" spans="1:9">
      <c r="A85" s="292"/>
      <c r="B85" s="8">
        <v>0.28819444444444398</v>
      </c>
      <c r="C85" s="166">
        <f>MQ!AD85</f>
        <v>0</v>
      </c>
      <c r="D85" s="166">
        <f>(MQ!AE85)*-1</f>
        <v>0</v>
      </c>
      <c r="E85" s="167">
        <f>'RTD Sched &amp; Prices'!I84</f>
        <v>0</v>
      </c>
      <c r="F85" s="167">
        <f t="shared" si="2"/>
        <v>0</v>
      </c>
      <c r="G85" s="12">
        <f t="shared" si="3"/>
        <v>0</v>
      </c>
    </row>
    <row r="86" spans="1:9">
      <c r="A86" s="292"/>
      <c r="B86" s="8">
        <v>0.29166666666666602</v>
      </c>
      <c r="C86" s="166">
        <f>MQ!AD86</f>
        <v>0</v>
      </c>
      <c r="D86" s="166">
        <f>(MQ!AE86)*-1</f>
        <v>0</v>
      </c>
      <c r="E86" s="167">
        <f>'RTD Sched &amp; Prices'!I85</f>
        <v>0</v>
      </c>
      <c r="F86" s="167">
        <f t="shared" si="2"/>
        <v>0</v>
      </c>
      <c r="G86" s="12">
        <f t="shared" si="3"/>
        <v>0</v>
      </c>
      <c r="H86" s="168">
        <f>SUM(F75:F86)</f>
        <v>0</v>
      </c>
      <c r="I86" s="168">
        <f>SUM(G75:G86)</f>
        <v>0</v>
      </c>
    </row>
    <row r="87" spans="1:9">
      <c r="A87" s="292" t="s">
        <v>9</v>
      </c>
      <c r="B87" s="8">
        <v>0.29513888888888901</v>
      </c>
      <c r="C87" s="166">
        <f>MQ!AD87</f>
        <v>0</v>
      </c>
      <c r="D87" s="166">
        <f>(MQ!AE87)*-1</f>
        <v>0</v>
      </c>
      <c r="E87" s="167">
        <f>'RTD Sched &amp; Prices'!I86</f>
        <v>0</v>
      </c>
      <c r="F87" s="167">
        <f t="shared" si="2"/>
        <v>0</v>
      </c>
      <c r="G87" s="12">
        <f t="shared" si="3"/>
        <v>0</v>
      </c>
    </row>
    <row r="88" spans="1:9">
      <c r="A88" s="292"/>
      <c r="B88" s="8">
        <v>0.29861111111111099</v>
      </c>
      <c r="C88" s="166">
        <f>MQ!AD88</f>
        <v>0</v>
      </c>
      <c r="D88" s="166">
        <f>(MQ!AE88)*-1</f>
        <v>0</v>
      </c>
      <c r="E88" s="167">
        <f>'RTD Sched &amp; Prices'!I87</f>
        <v>0</v>
      </c>
      <c r="F88" s="167">
        <f t="shared" si="2"/>
        <v>0</v>
      </c>
      <c r="G88" s="12">
        <f t="shared" si="3"/>
        <v>0</v>
      </c>
    </row>
    <row r="89" spans="1:9">
      <c r="A89" s="292"/>
      <c r="B89" s="8">
        <v>0.30208333333333298</v>
      </c>
      <c r="C89" s="166">
        <f>MQ!AD89</f>
        <v>0</v>
      </c>
      <c r="D89" s="166">
        <f>(MQ!AE89)*-1</f>
        <v>0</v>
      </c>
      <c r="E89" s="167">
        <f>'RTD Sched &amp; Prices'!I88</f>
        <v>0</v>
      </c>
      <c r="F89" s="167">
        <f t="shared" si="2"/>
        <v>0</v>
      </c>
      <c r="G89" s="12">
        <f t="shared" si="3"/>
        <v>0</v>
      </c>
    </row>
    <row r="90" spans="1:9">
      <c r="A90" s="292"/>
      <c r="B90" s="8">
        <v>0.30555555555555503</v>
      </c>
      <c r="C90" s="166">
        <f>MQ!AD90</f>
        <v>0</v>
      </c>
      <c r="D90" s="166">
        <f>(MQ!AE90)*-1</f>
        <v>0</v>
      </c>
      <c r="E90" s="167">
        <f>'RTD Sched &amp; Prices'!I89</f>
        <v>0</v>
      </c>
      <c r="F90" s="167">
        <f t="shared" si="2"/>
        <v>0</v>
      </c>
      <c r="G90" s="12">
        <f t="shared" si="3"/>
        <v>0</v>
      </c>
    </row>
    <row r="91" spans="1:9">
      <c r="A91" s="292"/>
      <c r="B91" s="8">
        <v>0.30902777777777801</v>
      </c>
      <c r="C91" s="166">
        <f>MQ!AD91</f>
        <v>0</v>
      </c>
      <c r="D91" s="166">
        <f>(MQ!AE91)*-1</f>
        <v>0</v>
      </c>
      <c r="E91" s="167">
        <f>'RTD Sched &amp; Prices'!I90</f>
        <v>0</v>
      </c>
      <c r="F91" s="167">
        <f t="shared" si="2"/>
        <v>0</v>
      </c>
      <c r="G91" s="12">
        <f t="shared" si="3"/>
        <v>0</v>
      </c>
    </row>
    <row r="92" spans="1:9">
      <c r="A92" s="292"/>
      <c r="B92" s="8">
        <v>0.3125</v>
      </c>
      <c r="C92" s="166">
        <f>MQ!AD92</f>
        <v>0</v>
      </c>
      <c r="D92" s="166">
        <f>(MQ!AE92)*-1</f>
        <v>0</v>
      </c>
      <c r="E92" s="167">
        <f>'RTD Sched &amp; Prices'!I91</f>
        <v>0</v>
      </c>
      <c r="F92" s="167">
        <f t="shared" si="2"/>
        <v>0</v>
      </c>
      <c r="G92" s="12">
        <f t="shared" si="3"/>
        <v>0</v>
      </c>
    </row>
    <row r="93" spans="1:9">
      <c r="A93" s="292"/>
      <c r="B93" s="8">
        <v>0.31597222222222199</v>
      </c>
      <c r="C93" s="166">
        <f>MQ!AD93</f>
        <v>0</v>
      </c>
      <c r="D93" s="166">
        <f>(MQ!AE93)*-1</f>
        <v>0</v>
      </c>
      <c r="E93" s="167">
        <f>'RTD Sched &amp; Prices'!I92</f>
        <v>0</v>
      </c>
      <c r="F93" s="167">
        <f t="shared" si="2"/>
        <v>0</v>
      </c>
      <c r="G93" s="12">
        <f t="shared" si="3"/>
        <v>0</v>
      </c>
    </row>
    <row r="94" spans="1:9">
      <c r="A94" s="292"/>
      <c r="B94" s="8">
        <v>0.31944444444444398</v>
      </c>
      <c r="C94" s="166">
        <f>MQ!AD94</f>
        <v>0</v>
      </c>
      <c r="D94" s="166">
        <f>(MQ!AE94)*-1</f>
        <v>0</v>
      </c>
      <c r="E94" s="167">
        <f>'RTD Sched &amp; Prices'!I93</f>
        <v>0</v>
      </c>
      <c r="F94" s="167">
        <f t="shared" si="2"/>
        <v>0</v>
      </c>
      <c r="G94" s="12">
        <f t="shared" si="3"/>
        <v>0</v>
      </c>
    </row>
    <row r="95" spans="1:9">
      <c r="A95" s="292"/>
      <c r="B95" s="8">
        <v>0.32291666666666602</v>
      </c>
      <c r="C95" s="166">
        <f>MQ!AD95</f>
        <v>0</v>
      </c>
      <c r="D95" s="166">
        <f>(MQ!AE95)*-1</f>
        <v>0</v>
      </c>
      <c r="E95" s="167">
        <f>'RTD Sched &amp; Prices'!I94</f>
        <v>0</v>
      </c>
      <c r="F95" s="167">
        <f t="shared" si="2"/>
        <v>0</v>
      </c>
      <c r="G95" s="12">
        <f t="shared" si="3"/>
        <v>0</v>
      </c>
    </row>
    <row r="96" spans="1:9">
      <c r="A96" s="292"/>
      <c r="B96" s="8">
        <v>0.32638888888888901</v>
      </c>
      <c r="C96" s="166">
        <f>MQ!AD96</f>
        <v>0</v>
      </c>
      <c r="D96" s="166">
        <f>(MQ!AE96)*-1</f>
        <v>0</v>
      </c>
      <c r="E96" s="167">
        <f>'RTD Sched &amp; Prices'!I95</f>
        <v>0</v>
      </c>
      <c r="F96" s="167">
        <f t="shared" si="2"/>
        <v>0</v>
      </c>
      <c r="G96" s="12">
        <f t="shared" si="3"/>
        <v>0</v>
      </c>
    </row>
    <row r="97" spans="1:9">
      <c r="A97" s="292"/>
      <c r="B97" s="8">
        <v>0.32986111111111099</v>
      </c>
      <c r="C97" s="166">
        <f>MQ!AD97</f>
        <v>0</v>
      </c>
      <c r="D97" s="166">
        <f>(MQ!AE97)*-1</f>
        <v>0</v>
      </c>
      <c r="E97" s="167">
        <f>'RTD Sched &amp; Prices'!I96</f>
        <v>0</v>
      </c>
      <c r="F97" s="167">
        <f t="shared" si="2"/>
        <v>0</v>
      </c>
      <c r="G97" s="12">
        <f t="shared" si="3"/>
        <v>0</v>
      </c>
    </row>
    <row r="98" spans="1:9">
      <c r="A98" s="292"/>
      <c r="B98" s="8">
        <v>0.33333333333333298</v>
      </c>
      <c r="C98" s="166">
        <f>MQ!AD98</f>
        <v>0</v>
      </c>
      <c r="D98" s="166">
        <f>(MQ!AE98)*-1</f>
        <v>0</v>
      </c>
      <c r="E98" s="167">
        <f>'RTD Sched &amp; Prices'!I97</f>
        <v>0</v>
      </c>
      <c r="F98" s="167">
        <f t="shared" si="2"/>
        <v>0</v>
      </c>
      <c r="G98" s="12">
        <f t="shared" si="3"/>
        <v>0</v>
      </c>
      <c r="H98" s="168">
        <f>SUM(F87:F98)</f>
        <v>0</v>
      </c>
      <c r="I98" s="168">
        <f>SUM(G87:G98)</f>
        <v>0</v>
      </c>
    </row>
    <row r="99" spans="1:9">
      <c r="A99" s="292" t="s">
        <v>10</v>
      </c>
      <c r="B99" s="8">
        <v>0.33680555555555503</v>
      </c>
      <c r="C99" s="166">
        <f>MQ!AD99</f>
        <v>0</v>
      </c>
      <c r="D99" s="166">
        <f>(MQ!AE99)*-1</f>
        <v>0</v>
      </c>
      <c r="E99" s="167">
        <f>'RTD Sched &amp; Prices'!I98</f>
        <v>0</v>
      </c>
      <c r="F99" s="167">
        <f t="shared" si="2"/>
        <v>0</v>
      </c>
      <c r="G99" s="12">
        <f t="shared" si="3"/>
        <v>0</v>
      </c>
    </row>
    <row r="100" spans="1:9">
      <c r="A100" s="292"/>
      <c r="B100" s="8">
        <v>0.34027777777777801</v>
      </c>
      <c r="C100" s="166">
        <f>MQ!AD100</f>
        <v>0</v>
      </c>
      <c r="D100" s="166">
        <f>(MQ!AE100)*-1</f>
        <v>0</v>
      </c>
      <c r="E100" s="167">
        <f>'RTD Sched &amp; Prices'!I99</f>
        <v>0</v>
      </c>
      <c r="F100" s="167">
        <f t="shared" si="2"/>
        <v>0</v>
      </c>
      <c r="G100" s="12">
        <f t="shared" si="3"/>
        <v>0</v>
      </c>
    </row>
    <row r="101" spans="1:9">
      <c r="A101" s="292"/>
      <c r="B101" s="8">
        <v>0.34375</v>
      </c>
      <c r="C101" s="166">
        <f>MQ!AD101</f>
        <v>0</v>
      </c>
      <c r="D101" s="166">
        <f>(MQ!AE101)*-1</f>
        <v>0</v>
      </c>
      <c r="E101" s="167">
        <f>'RTD Sched &amp; Prices'!I100</f>
        <v>0</v>
      </c>
      <c r="F101" s="167">
        <f t="shared" si="2"/>
        <v>0</v>
      </c>
      <c r="G101" s="12">
        <f t="shared" si="3"/>
        <v>0</v>
      </c>
    </row>
    <row r="102" spans="1:9">
      <c r="A102" s="292"/>
      <c r="B102" s="8">
        <v>0.34722222222222199</v>
      </c>
      <c r="C102" s="166">
        <f>MQ!AD102</f>
        <v>0</v>
      </c>
      <c r="D102" s="166">
        <f>(MQ!AE102)*-1</f>
        <v>0</v>
      </c>
      <c r="E102" s="167">
        <f>'RTD Sched &amp; Prices'!I101</f>
        <v>0</v>
      </c>
      <c r="F102" s="167">
        <f t="shared" si="2"/>
        <v>0</v>
      </c>
      <c r="G102" s="12">
        <f t="shared" si="3"/>
        <v>0</v>
      </c>
    </row>
    <row r="103" spans="1:9">
      <c r="A103" s="292"/>
      <c r="B103" s="8">
        <v>0.35069444444444398</v>
      </c>
      <c r="C103" s="166">
        <f>MQ!AD103</f>
        <v>0</v>
      </c>
      <c r="D103" s="166">
        <f>(MQ!AE103)*-1</f>
        <v>0</v>
      </c>
      <c r="E103" s="167">
        <f>'RTD Sched &amp; Prices'!I102</f>
        <v>0</v>
      </c>
      <c r="F103" s="167">
        <f t="shared" si="2"/>
        <v>0</v>
      </c>
      <c r="G103" s="12">
        <f t="shared" si="3"/>
        <v>0</v>
      </c>
    </row>
    <row r="104" spans="1:9">
      <c r="A104" s="292"/>
      <c r="B104" s="8">
        <v>0.35416666666666602</v>
      </c>
      <c r="C104" s="166">
        <f>MQ!AD104</f>
        <v>0</v>
      </c>
      <c r="D104" s="166">
        <f>(MQ!AE104)*-1</f>
        <v>0</v>
      </c>
      <c r="E104" s="167">
        <f>'RTD Sched &amp; Prices'!I103</f>
        <v>0</v>
      </c>
      <c r="F104" s="167">
        <f t="shared" si="2"/>
        <v>0</v>
      </c>
      <c r="G104" s="12">
        <f t="shared" si="3"/>
        <v>0</v>
      </c>
    </row>
    <row r="105" spans="1:9">
      <c r="A105" s="292"/>
      <c r="B105" s="8">
        <v>0.35763888888888901</v>
      </c>
      <c r="C105" s="166">
        <f>MQ!AD105</f>
        <v>0</v>
      </c>
      <c r="D105" s="166">
        <f>(MQ!AE105)*-1</f>
        <v>0</v>
      </c>
      <c r="E105" s="167">
        <f>'RTD Sched &amp; Prices'!I104</f>
        <v>0</v>
      </c>
      <c r="F105" s="167">
        <f t="shared" si="2"/>
        <v>0</v>
      </c>
      <c r="G105" s="12">
        <f t="shared" si="3"/>
        <v>0</v>
      </c>
    </row>
    <row r="106" spans="1:9">
      <c r="A106" s="292"/>
      <c r="B106" s="8">
        <v>0.36111111111111099</v>
      </c>
      <c r="C106" s="166">
        <f>MQ!AD106</f>
        <v>0</v>
      </c>
      <c r="D106" s="166">
        <f>(MQ!AE106)*-1</f>
        <v>0</v>
      </c>
      <c r="E106" s="167">
        <f>'RTD Sched &amp; Prices'!I105</f>
        <v>0</v>
      </c>
      <c r="F106" s="167">
        <f t="shared" si="2"/>
        <v>0</v>
      </c>
      <c r="G106" s="12">
        <f t="shared" si="3"/>
        <v>0</v>
      </c>
    </row>
    <row r="107" spans="1:9">
      <c r="A107" s="292"/>
      <c r="B107" s="8">
        <v>0.36458333333333298</v>
      </c>
      <c r="C107" s="166">
        <f>MQ!AD107</f>
        <v>0</v>
      </c>
      <c r="D107" s="166">
        <f>(MQ!AE107)*-1</f>
        <v>0</v>
      </c>
      <c r="E107" s="167">
        <f>'RTD Sched &amp; Prices'!I106</f>
        <v>0</v>
      </c>
      <c r="F107" s="167">
        <f t="shared" si="2"/>
        <v>0</v>
      </c>
      <c r="G107" s="12">
        <f t="shared" si="3"/>
        <v>0</v>
      </c>
    </row>
    <row r="108" spans="1:9">
      <c r="A108" s="292"/>
      <c r="B108" s="8">
        <v>0.36805555555555503</v>
      </c>
      <c r="C108" s="166">
        <f>MQ!AD108</f>
        <v>0</v>
      </c>
      <c r="D108" s="166">
        <f>(MQ!AE108)*-1</f>
        <v>0</v>
      </c>
      <c r="E108" s="167">
        <f>'RTD Sched &amp; Prices'!I107</f>
        <v>0</v>
      </c>
      <c r="F108" s="167">
        <f t="shared" si="2"/>
        <v>0</v>
      </c>
      <c r="G108" s="12">
        <f t="shared" si="3"/>
        <v>0</v>
      </c>
    </row>
    <row r="109" spans="1:9">
      <c r="A109" s="292"/>
      <c r="B109" s="8">
        <v>0.37152777777777801</v>
      </c>
      <c r="C109" s="166">
        <f>MQ!AD109</f>
        <v>0</v>
      </c>
      <c r="D109" s="166">
        <f>(MQ!AE109)*-1</f>
        <v>0</v>
      </c>
      <c r="E109" s="167">
        <f>'RTD Sched &amp; Prices'!I108</f>
        <v>0</v>
      </c>
      <c r="F109" s="167">
        <f t="shared" si="2"/>
        <v>0</v>
      </c>
      <c r="G109" s="12">
        <f t="shared" si="3"/>
        <v>0</v>
      </c>
    </row>
    <row r="110" spans="1:9">
      <c r="A110" s="292"/>
      <c r="B110" s="8">
        <v>0.375</v>
      </c>
      <c r="C110" s="166">
        <f>MQ!AD110</f>
        <v>0</v>
      </c>
      <c r="D110" s="166">
        <f>(MQ!AE110)*-1</f>
        <v>0</v>
      </c>
      <c r="E110" s="167">
        <f>'RTD Sched &amp; Prices'!I109</f>
        <v>0</v>
      </c>
      <c r="F110" s="167">
        <f t="shared" si="2"/>
        <v>0</v>
      </c>
      <c r="G110" s="12">
        <f t="shared" si="3"/>
        <v>0</v>
      </c>
      <c r="H110" s="168">
        <f>SUM(F99:F110)</f>
        <v>0</v>
      </c>
      <c r="I110" s="168">
        <f>SUM(G99:G110)</f>
        <v>0</v>
      </c>
    </row>
    <row r="111" spans="1:9">
      <c r="A111" s="292" t="s">
        <v>11</v>
      </c>
      <c r="B111" s="8">
        <v>0.37847222222222199</v>
      </c>
      <c r="C111" s="166">
        <f>MQ!AD111</f>
        <v>0</v>
      </c>
      <c r="D111" s="166">
        <f>(MQ!AE111)*-1</f>
        <v>0</v>
      </c>
      <c r="E111" s="167">
        <f>'RTD Sched &amp; Prices'!I110</f>
        <v>0</v>
      </c>
      <c r="F111" s="167">
        <f t="shared" si="2"/>
        <v>0</v>
      </c>
      <c r="G111" s="12">
        <f t="shared" si="3"/>
        <v>0</v>
      </c>
    </row>
    <row r="112" spans="1:9">
      <c r="A112" s="292"/>
      <c r="B112" s="8">
        <v>0.38194444444444398</v>
      </c>
      <c r="C112" s="166">
        <f>MQ!AD112</f>
        <v>0</v>
      </c>
      <c r="D112" s="166">
        <f>(MQ!AE112)*-1</f>
        <v>0</v>
      </c>
      <c r="E112" s="167">
        <f>'RTD Sched &amp; Prices'!I111</f>
        <v>0</v>
      </c>
      <c r="F112" s="167">
        <f t="shared" si="2"/>
        <v>0</v>
      </c>
      <c r="G112" s="12">
        <f t="shared" si="3"/>
        <v>0</v>
      </c>
    </row>
    <row r="113" spans="1:9">
      <c r="A113" s="292"/>
      <c r="B113" s="8">
        <v>0.38541666666666602</v>
      </c>
      <c r="C113" s="166">
        <f>MQ!AD113</f>
        <v>0</v>
      </c>
      <c r="D113" s="166">
        <f>(MQ!AE113)*-1</f>
        <v>0</v>
      </c>
      <c r="E113" s="167">
        <f>'RTD Sched &amp; Prices'!I112</f>
        <v>0</v>
      </c>
      <c r="F113" s="167">
        <f t="shared" si="2"/>
        <v>0</v>
      </c>
      <c r="G113" s="12">
        <f t="shared" si="3"/>
        <v>0</v>
      </c>
    </row>
    <row r="114" spans="1:9">
      <c r="A114" s="292"/>
      <c r="B114" s="8">
        <v>0.38888888888888901</v>
      </c>
      <c r="C114" s="166">
        <f>MQ!AD114</f>
        <v>0</v>
      </c>
      <c r="D114" s="166">
        <f>(MQ!AE114)*-1</f>
        <v>0</v>
      </c>
      <c r="E114" s="167">
        <f>'RTD Sched &amp; Prices'!I113</f>
        <v>0</v>
      </c>
      <c r="F114" s="167">
        <f t="shared" si="2"/>
        <v>0</v>
      </c>
      <c r="G114" s="12">
        <f t="shared" si="3"/>
        <v>0</v>
      </c>
    </row>
    <row r="115" spans="1:9">
      <c r="A115" s="292"/>
      <c r="B115" s="8">
        <v>0.39236111111111099</v>
      </c>
      <c r="C115" s="166">
        <f>MQ!AD115</f>
        <v>0</v>
      </c>
      <c r="D115" s="166">
        <f>(MQ!AE115)*-1</f>
        <v>0</v>
      </c>
      <c r="E115" s="167">
        <f>'RTD Sched &amp; Prices'!I114</f>
        <v>0</v>
      </c>
      <c r="F115" s="167">
        <f t="shared" si="2"/>
        <v>0</v>
      </c>
      <c r="G115" s="12">
        <f t="shared" si="3"/>
        <v>0</v>
      </c>
    </row>
    <row r="116" spans="1:9">
      <c r="A116" s="292"/>
      <c r="B116" s="8">
        <v>0.39583333333333298</v>
      </c>
      <c r="C116" s="166">
        <f>MQ!AD116</f>
        <v>0</v>
      </c>
      <c r="D116" s="166">
        <f>(MQ!AE116)*-1</f>
        <v>0</v>
      </c>
      <c r="E116" s="167">
        <f>'RTD Sched &amp; Prices'!I115</f>
        <v>0</v>
      </c>
      <c r="F116" s="167">
        <f t="shared" si="2"/>
        <v>0</v>
      </c>
      <c r="G116" s="12">
        <f t="shared" si="3"/>
        <v>0</v>
      </c>
    </row>
    <row r="117" spans="1:9">
      <c r="A117" s="292"/>
      <c r="B117" s="8">
        <v>0.39930555555555503</v>
      </c>
      <c r="C117" s="166">
        <f>MQ!AD117</f>
        <v>0</v>
      </c>
      <c r="D117" s="166">
        <f>(MQ!AE117)*-1</f>
        <v>0</v>
      </c>
      <c r="E117" s="167">
        <f>'RTD Sched &amp; Prices'!I116</f>
        <v>0</v>
      </c>
      <c r="F117" s="167">
        <f t="shared" si="2"/>
        <v>0</v>
      </c>
      <c r="G117" s="12">
        <f t="shared" si="3"/>
        <v>0</v>
      </c>
    </row>
    <row r="118" spans="1:9">
      <c r="A118" s="292"/>
      <c r="B118" s="8">
        <v>0.40277777777777801</v>
      </c>
      <c r="C118" s="166">
        <f>MQ!AD118</f>
        <v>0</v>
      </c>
      <c r="D118" s="166">
        <f>(MQ!AE118)*-1</f>
        <v>0</v>
      </c>
      <c r="E118" s="167">
        <f>'RTD Sched &amp; Prices'!I117</f>
        <v>0</v>
      </c>
      <c r="F118" s="167">
        <f t="shared" si="2"/>
        <v>0</v>
      </c>
      <c r="G118" s="12">
        <f t="shared" si="3"/>
        <v>0</v>
      </c>
    </row>
    <row r="119" spans="1:9">
      <c r="A119" s="292"/>
      <c r="B119" s="8">
        <v>0.40625</v>
      </c>
      <c r="C119" s="166">
        <f>MQ!AD119</f>
        <v>0</v>
      </c>
      <c r="D119" s="166">
        <f>(MQ!AE119)*-1</f>
        <v>0</v>
      </c>
      <c r="E119" s="167">
        <f>'RTD Sched &amp; Prices'!I118</f>
        <v>0</v>
      </c>
      <c r="F119" s="167">
        <f t="shared" si="2"/>
        <v>0</v>
      </c>
      <c r="G119" s="12">
        <f t="shared" si="3"/>
        <v>0</v>
      </c>
    </row>
    <row r="120" spans="1:9">
      <c r="A120" s="292"/>
      <c r="B120" s="8">
        <v>0.40972222222222199</v>
      </c>
      <c r="C120" s="166">
        <f>MQ!AD120</f>
        <v>0</v>
      </c>
      <c r="D120" s="166">
        <f>(MQ!AE120)*-1</f>
        <v>0</v>
      </c>
      <c r="E120" s="167">
        <f>'RTD Sched &amp; Prices'!I119</f>
        <v>0</v>
      </c>
      <c r="F120" s="167">
        <f t="shared" si="2"/>
        <v>0</v>
      </c>
      <c r="G120" s="12">
        <f t="shared" si="3"/>
        <v>0</v>
      </c>
    </row>
    <row r="121" spans="1:9">
      <c r="A121" s="292"/>
      <c r="B121" s="8">
        <v>0.41319444444444398</v>
      </c>
      <c r="C121" s="166">
        <f>MQ!AD121</f>
        <v>0</v>
      </c>
      <c r="D121" s="166">
        <f>(MQ!AE121)*-1</f>
        <v>0</v>
      </c>
      <c r="E121" s="167">
        <f>'RTD Sched &amp; Prices'!I120</f>
        <v>0</v>
      </c>
      <c r="F121" s="167">
        <f t="shared" si="2"/>
        <v>0</v>
      </c>
      <c r="G121" s="12">
        <f t="shared" si="3"/>
        <v>0</v>
      </c>
    </row>
    <row r="122" spans="1:9">
      <c r="A122" s="292"/>
      <c r="B122" s="8">
        <v>0.41666666666666602</v>
      </c>
      <c r="C122" s="166">
        <f>MQ!AD122</f>
        <v>0</v>
      </c>
      <c r="D122" s="166">
        <f>(MQ!AE122)*-1</f>
        <v>0</v>
      </c>
      <c r="E122" s="167">
        <f>'RTD Sched &amp; Prices'!I121</f>
        <v>0</v>
      </c>
      <c r="F122" s="167">
        <f t="shared" si="2"/>
        <v>0</v>
      </c>
      <c r="G122" s="12">
        <f t="shared" si="3"/>
        <v>0</v>
      </c>
      <c r="H122" s="168">
        <f>SUM(F111:F122)</f>
        <v>0</v>
      </c>
      <c r="I122" s="168">
        <f>SUM(G111:G122)</f>
        <v>0</v>
      </c>
    </row>
    <row r="123" spans="1:9">
      <c r="A123" s="292" t="s">
        <v>12</v>
      </c>
      <c r="B123" s="8">
        <v>0.42013888888888901</v>
      </c>
      <c r="C123" s="166">
        <f>MQ!AD123</f>
        <v>0</v>
      </c>
      <c r="D123" s="166">
        <f>(MQ!AE123)*-1</f>
        <v>0</v>
      </c>
      <c r="E123" s="167">
        <f>'RTD Sched &amp; Prices'!I122</f>
        <v>0</v>
      </c>
      <c r="F123" s="167">
        <f t="shared" si="2"/>
        <v>0</v>
      </c>
      <c r="G123" s="12">
        <f t="shared" si="3"/>
        <v>0</v>
      </c>
    </row>
    <row r="124" spans="1:9">
      <c r="A124" s="292"/>
      <c r="B124" s="8">
        <v>0.42361111111111099</v>
      </c>
      <c r="C124" s="166">
        <f>MQ!AD124</f>
        <v>0</v>
      </c>
      <c r="D124" s="166">
        <f>(MQ!AE124)*-1</f>
        <v>0</v>
      </c>
      <c r="E124" s="167">
        <f>'RTD Sched &amp; Prices'!I123</f>
        <v>0</v>
      </c>
      <c r="F124" s="167">
        <f t="shared" si="2"/>
        <v>0</v>
      </c>
      <c r="G124" s="12">
        <f t="shared" si="3"/>
        <v>0</v>
      </c>
    </row>
    <row r="125" spans="1:9">
      <c r="A125" s="292"/>
      <c r="B125" s="8">
        <v>0.42708333333333298</v>
      </c>
      <c r="C125" s="166">
        <f>MQ!AD125</f>
        <v>0</v>
      </c>
      <c r="D125" s="166">
        <f>(MQ!AE125)*-1</f>
        <v>0</v>
      </c>
      <c r="E125" s="167">
        <f>'RTD Sched &amp; Prices'!I124</f>
        <v>0</v>
      </c>
      <c r="F125" s="167">
        <f t="shared" si="2"/>
        <v>0</v>
      </c>
      <c r="G125" s="12">
        <f t="shared" si="3"/>
        <v>0</v>
      </c>
    </row>
    <row r="126" spans="1:9">
      <c r="A126" s="292"/>
      <c r="B126" s="8">
        <v>0.43055555555555503</v>
      </c>
      <c r="C126" s="166">
        <f>MQ!AD126</f>
        <v>0</v>
      </c>
      <c r="D126" s="166">
        <f>(MQ!AE126)*-1</f>
        <v>0</v>
      </c>
      <c r="E126" s="167">
        <f>'RTD Sched &amp; Prices'!I125</f>
        <v>0</v>
      </c>
      <c r="F126" s="167">
        <f t="shared" si="2"/>
        <v>0</v>
      </c>
      <c r="G126" s="12">
        <f t="shared" si="3"/>
        <v>0</v>
      </c>
    </row>
    <row r="127" spans="1:9">
      <c r="A127" s="292"/>
      <c r="B127" s="8">
        <v>0.43402777777777801</v>
      </c>
      <c r="C127" s="166">
        <f>MQ!AD127</f>
        <v>0</v>
      </c>
      <c r="D127" s="166">
        <f>(MQ!AE127)*-1</f>
        <v>0</v>
      </c>
      <c r="E127" s="167">
        <f>'RTD Sched &amp; Prices'!I126</f>
        <v>0</v>
      </c>
      <c r="F127" s="167">
        <f t="shared" si="2"/>
        <v>0</v>
      </c>
      <c r="G127" s="12">
        <f t="shared" si="3"/>
        <v>0</v>
      </c>
    </row>
    <row r="128" spans="1:9">
      <c r="A128" s="292"/>
      <c r="B128" s="8">
        <v>0.4375</v>
      </c>
      <c r="C128" s="166">
        <f>MQ!AD128</f>
        <v>0</v>
      </c>
      <c r="D128" s="166">
        <f>(MQ!AE128)*-1</f>
        <v>0</v>
      </c>
      <c r="E128" s="167">
        <f>'RTD Sched &amp; Prices'!I127</f>
        <v>0</v>
      </c>
      <c r="F128" s="167">
        <f t="shared" si="2"/>
        <v>0</v>
      </c>
      <c r="G128" s="12">
        <f t="shared" si="3"/>
        <v>0</v>
      </c>
    </row>
    <row r="129" spans="1:9">
      <c r="A129" s="292"/>
      <c r="B129" s="8">
        <v>0.44097222222222199</v>
      </c>
      <c r="C129" s="166">
        <f>MQ!AD129</f>
        <v>0</v>
      </c>
      <c r="D129" s="166">
        <f>(MQ!AE129)*-1</f>
        <v>0</v>
      </c>
      <c r="E129" s="167">
        <f>'RTD Sched &amp; Prices'!I128</f>
        <v>0</v>
      </c>
      <c r="F129" s="167">
        <f t="shared" si="2"/>
        <v>0</v>
      </c>
      <c r="G129" s="12">
        <f t="shared" si="3"/>
        <v>0</v>
      </c>
    </row>
    <row r="130" spans="1:9">
      <c r="A130" s="292"/>
      <c r="B130" s="8">
        <v>0.44444444444444398</v>
      </c>
      <c r="C130" s="166">
        <f>MQ!AD130</f>
        <v>0</v>
      </c>
      <c r="D130" s="166">
        <f>(MQ!AE130)*-1</f>
        <v>0</v>
      </c>
      <c r="E130" s="167">
        <f>'RTD Sched &amp; Prices'!I129</f>
        <v>0</v>
      </c>
      <c r="F130" s="167">
        <f t="shared" si="2"/>
        <v>0</v>
      </c>
      <c r="G130" s="12">
        <f t="shared" si="3"/>
        <v>0</v>
      </c>
    </row>
    <row r="131" spans="1:9">
      <c r="A131" s="292"/>
      <c r="B131" s="8">
        <v>0.44791666666666602</v>
      </c>
      <c r="C131" s="166">
        <f>MQ!AD131</f>
        <v>0</v>
      </c>
      <c r="D131" s="166">
        <f>(MQ!AE131)*-1</f>
        <v>0</v>
      </c>
      <c r="E131" s="167">
        <f>'RTD Sched &amp; Prices'!I130</f>
        <v>0</v>
      </c>
      <c r="F131" s="167">
        <f t="shared" si="2"/>
        <v>0</v>
      </c>
      <c r="G131" s="12">
        <f t="shared" si="3"/>
        <v>0</v>
      </c>
    </row>
    <row r="132" spans="1:9">
      <c r="A132" s="292"/>
      <c r="B132" s="8">
        <v>0.45138888888888901</v>
      </c>
      <c r="C132" s="166">
        <f>MQ!AD132</f>
        <v>0</v>
      </c>
      <c r="D132" s="166">
        <f>(MQ!AE132)*-1</f>
        <v>0</v>
      </c>
      <c r="E132" s="167">
        <f>'RTD Sched &amp; Prices'!I131</f>
        <v>0</v>
      </c>
      <c r="F132" s="167">
        <f t="shared" ref="F132:F195" si="4">C132*E132</f>
        <v>0</v>
      </c>
      <c r="G132" s="12">
        <f t="shared" ref="G132:G195" si="5">D132*E132</f>
        <v>0</v>
      </c>
    </row>
    <row r="133" spans="1:9">
      <c r="A133" s="292"/>
      <c r="B133" s="8">
        <v>0.45486111111111099</v>
      </c>
      <c r="C133" s="166">
        <f>MQ!AD133</f>
        <v>0</v>
      </c>
      <c r="D133" s="166">
        <f>(MQ!AE133)*-1</f>
        <v>0</v>
      </c>
      <c r="E133" s="167">
        <f>'RTD Sched &amp; Prices'!I132</f>
        <v>0</v>
      </c>
      <c r="F133" s="167">
        <f t="shared" si="4"/>
        <v>0</v>
      </c>
      <c r="G133" s="12">
        <f t="shared" si="5"/>
        <v>0</v>
      </c>
    </row>
    <row r="134" spans="1:9">
      <c r="A134" s="292"/>
      <c r="B134" s="8">
        <v>0.45833333333333298</v>
      </c>
      <c r="C134" s="166">
        <f>MQ!AD134</f>
        <v>0</v>
      </c>
      <c r="D134" s="166">
        <f>(MQ!AE134)*-1</f>
        <v>0</v>
      </c>
      <c r="E134" s="167">
        <f>'RTD Sched &amp; Prices'!I133</f>
        <v>0</v>
      </c>
      <c r="F134" s="167">
        <f t="shared" si="4"/>
        <v>0</v>
      </c>
      <c r="G134" s="12">
        <f t="shared" si="5"/>
        <v>0</v>
      </c>
      <c r="H134" s="168">
        <f>SUM(F123:F134)</f>
        <v>0</v>
      </c>
      <c r="I134" s="168">
        <f>SUM(G123:G134)</f>
        <v>0</v>
      </c>
    </row>
    <row r="135" spans="1:9">
      <c r="A135" s="292" t="s">
        <v>13</v>
      </c>
      <c r="B135" s="8">
        <v>0.46180555555555503</v>
      </c>
      <c r="C135" s="166">
        <f>MQ!AD135</f>
        <v>0</v>
      </c>
      <c r="D135" s="166">
        <f>(MQ!AE135)*-1</f>
        <v>0</v>
      </c>
      <c r="E135" s="167">
        <f>'RTD Sched &amp; Prices'!I134</f>
        <v>0</v>
      </c>
      <c r="F135" s="167">
        <f t="shared" si="4"/>
        <v>0</v>
      </c>
      <c r="G135" s="12">
        <f t="shared" si="5"/>
        <v>0</v>
      </c>
    </row>
    <row r="136" spans="1:9">
      <c r="A136" s="292"/>
      <c r="B136" s="8">
        <v>0.46527777777777801</v>
      </c>
      <c r="C136" s="166">
        <f>MQ!AD136</f>
        <v>0</v>
      </c>
      <c r="D136" s="166">
        <f>(MQ!AE136)*-1</f>
        <v>0</v>
      </c>
      <c r="E136" s="167">
        <f>'RTD Sched &amp; Prices'!I135</f>
        <v>0</v>
      </c>
      <c r="F136" s="167">
        <f t="shared" si="4"/>
        <v>0</v>
      </c>
      <c r="G136" s="12">
        <f t="shared" si="5"/>
        <v>0</v>
      </c>
    </row>
    <row r="137" spans="1:9">
      <c r="A137" s="292"/>
      <c r="B137" s="8">
        <v>0.46875</v>
      </c>
      <c r="C137" s="166">
        <f>MQ!AD137</f>
        <v>0</v>
      </c>
      <c r="D137" s="166">
        <f>(MQ!AE137)*-1</f>
        <v>0</v>
      </c>
      <c r="E137" s="167">
        <f>'RTD Sched &amp; Prices'!I136</f>
        <v>0</v>
      </c>
      <c r="F137" s="167">
        <f t="shared" si="4"/>
        <v>0</v>
      </c>
      <c r="G137" s="12">
        <f t="shared" si="5"/>
        <v>0</v>
      </c>
    </row>
    <row r="138" spans="1:9">
      <c r="A138" s="292"/>
      <c r="B138" s="8">
        <v>0.47222222222222199</v>
      </c>
      <c r="C138" s="166">
        <f>MQ!AD138</f>
        <v>0</v>
      </c>
      <c r="D138" s="166">
        <f>(MQ!AE138)*-1</f>
        <v>0</v>
      </c>
      <c r="E138" s="167">
        <f>'RTD Sched &amp; Prices'!I137</f>
        <v>0</v>
      </c>
      <c r="F138" s="167">
        <f t="shared" si="4"/>
        <v>0</v>
      </c>
      <c r="G138" s="12">
        <f t="shared" si="5"/>
        <v>0</v>
      </c>
    </row>
    <row r="139" spans="1:9">
      <c r="A139" s="292"/>
      <c r="B139" s="8">
        <v>0.47569444444444398</v>
      </c>
      <c r="C139" s="166">
        <f>MQ!AD139</f>
        <v>0</v>
      </c>
      <c r="D139" s="166">
        <f>(MQ!AE139)*-1</f>
        <v>0</v>
      </c>
      <c r="E139" s="167">
        <f>'RTD Sched &amp; Prices'!I138</f>
        <v>0</v>
      </c>
      <c r="F139" s="167">
        <f t="shared" si="4"/>
        <v>0</v>
      </c>
      <c r="G139" s="12">
        <f t="shared" si="5"/>
        <v>0</v>
      </c>
    </row>
    <row r="140" spans="1:9">
      <c r="A140" s="292"/>
      <c r="B140" s="8">
        <v>0.47916666666666602</v>
      </c>
      <c r="C140" s="166">
        <f>MQ!AD140</f>
        <v>0</v>
      </c>
      <c r="D140" s="166">
        <f>(MQ!AE140)*-1</f>
        <v>0</v>
      </c>
      <c r="E140" s="167">
        <f>'RTD Sched &amp; Prices'!I139</f>
        <v>0</v>
      </c>
      <c r="F140" s="167">
        <f t="shared" si="4"/>
        <v>0</v>
      </c>
      <c r="G140" s="12">
        <f t="shared" si="5"/>
        <v>0</v>
      </c>
    </row>
    <row r="141" spans="1:9">
      <c r="A141" s="292"/>
      <c r="B141" s="8">
        <v>0.48263888888888901</v>
      </c>
      <c r="C141" s="166">
        <f>MQ!AD141</f>
        <v>0</v>
      </c>
      <c r="D141" s="166">
        <f>(MQ!AE141)*-1</f>
        <v>0</v>
      </c>
      <c r="E141" s="167">
        <f>'RTD Sched &amp; Prices'!I140</f>
        <v>0</v>
      </c>
      <c r="F141" s="167">
        <f t="shared" si="4"/>
        <v>0</v>
      </c>
      <c r="G141" s="12">
        <f t="shared" si="5"/>
        <v>0</v>
      </c>
    </row>
    <row r="142" spans="1:9">
      <c r="A142" s="292"/>
      <c r="B142" s="8">
        <v>0.48611111111111099</v>
      </c>
      <c r="C142" s="166">
        <f>MQ!AD142</f>
        <v>0</v>
      </c>
      <c r="D142" s="166">
        <f>(MQ!AE142)*-1</f>
        <v>0</v>
      </c>
      <c r="E142" s="167">
        <f>'RTD Sched &amp; Prices'!I141</f>
        <v>0</v>
      </c>
      <c r="F142" s="167">
        <f t="shared" si="4"/>
        <v>0</v>
      </c>
      <c r="G142" s="12">
        <f t="shared" si="5"/>
        <v>0</v>
      </c>
    </row>
    <row r="143" spans="1:9">
      <c r="A143" s="292"/>
      <c r="B143" s="8">
        <v>0.48958333333333298</v>
      </c>
      <c r="C143" s="166">
        <f>MQ!AD143</f>
        <v>0</v>
      </c>
      <c r="D143" s="166">
        <f>(MQ!AE143)*-1</f>
        <v>0</v>
      </c>
      <c r="E143" s="167">
        <f>'RTD Sched &amp; Prices'!I142</f>
        <v>0</v>
      </c>
      <c r="F143" s="167">
        <f t="shared" si="4"/>
        <v>0</v>
      </c>
      <c r="G143" s="12">
        <f t="shared" si="5"/>
        <v>0</v>
      </c>
    </row>
    <row r="144" spans="1:9">
      <c r="A144" s="292"/>
      <c r="B144" s="8">
        <v>0.49305555555555503</v>
      </c>
      <c r="C144" s="166">
        <f>MQ!AD144</f>
        <v>0</v>
      </c>
      <c r="D144" s="166">
        <f>(MQ!AE144)*-1</f>
        <v>0</v>
      </c>
      <c r="E144" s="167">
        <f>'RTD Sched &amp; Prices'!I143</f>
        <v>0</v>
      </c>
      <c r="F144" s="167">
        <f t="shared" si="4"/>
        <v>0</v>
      </c>
      <c r="G144" s="12">
        <f t="shared" si="5"/>
        <v>0</v>
      </c>
    </row>
    <row r="145" spans="1:9">
      <c r="A145" s="292"/>
      <c r="B145" s="8">
        <v>0.49652777777777801</v>
      </c>
      <c r="C145" s="166">
        <f>MQ!AD145</f>
        <v>0</v>
      </c>
      <c r="D145" s="166">
        <f>(MQ!AE145)*-1</f>
        <v>0</v>
      </c>
      <c r="E145" s="167">
        <f>'RTD Sched &amp; Prices'!I144</f>
        <v>0</v>
      </c>
      <c r="F145" s="167">
        <f t="shared" si="4"/>
        <v>0</v>
      </c>
      <c r="G145" s="12">
        <f t="shared" si="5"/>
        <v>0</v>
      </c>
    </row>
    <row r="146" spans="1:9">
      <c r="A146" s="292"/>
      <c r="B146" s="8">
        <v>0.5</v>
      </c>
      <c r="C146" s="166">
        <f>MQ!AD146</f>
        <v>0</v>
      </c>
      <c r="D146" s="166">
        <f>(MQ!AE146)*-1</f>
        <v>0</v>
      </c>
      <c r="E146" s="167">
        <f>'RTD Sched &amp; Prices'!I145</f>
        <v>0</v>
      </c>
      <c r="F146" s="167">
        <f t="shared" si="4"/>
        <v>0</v>
      </c>
      <c r="G146" s="12">
        <f t="shared" si="5"/>
        <v>0</v>
      </c>
      <c r="H146" s="168">
        <f>SUM(F135:F146)</f>
        <v>0</v>
      </c>
      <c r="I146" s="168">
        <f>SUM(G135:G146)</f>
        <v>0</v>
      </c>
    </row>
    <row r="147" spans="1:9">
      <c r="A147" s="292" t="s">
        <v>14</v>
      </c>
      <c r="B147" s="8">
        <v>0.50347222222222199</v>
      </c>
      <c r="C147" s="166">
        <f>MQ!AD147</f>
        <v>0</v>
      </c>
      <c r="D147" s="166">
        <f>(MQ!AE147)*-1</f>
        <v>0</v>
      </c>
      <c r="E147" s="167">
        <f>'RTD Sched &amp; Prices'!I146</f>
        <v>0</v>
      </c>
      <c r="F147" s="167">
        <f t="shared" si="4"/>
        <v>0</v>
      </c>
      <c r="G147" s="12">
        <f t="shared" si="5"/>
        <v>0</v>
      </c>
    </row>
    <row r="148" spans="1:9">
      <c r="A148" s="292"/>
      <c r="B148" s="8">
        <v>0.50694444444444398</v>
      </c>
      <c r="C148" s="166">
        <f>MQ!AD148</f>
        <v>0</v>
      </c>
      <c r="D148" s="166">
        <f>(MQ!AE148)*-1</f>
        <v>0</v>
      </c>
      <c r="E148" s="167">
        <f>'RTD Sched &amp; Prices'!I147</f>
        <v>0</v>
      </c>
      <c r="F148" s="167">
        <f t="shared" si="4"/>
        <v>0</v>
      </c>
      <c r="G148" s="12">
        <f t="shared" si="5"/>
        <v>0</v>
      </c>
    </row>
    <row r="149" spans="1:9">
      <c r="A149" s="292"/>
      <c r="B149" s="8">
        <v>0.51041666666666596</v>
      </c>
      <c r="C149" s="166">
        <f>MQ!AD149</f>
        <v>0</v>
      </c>
      <c r="D149" s="166">
        <f>(MQ!AE149)*-1</f>
        <v>0</v>
      </c>
      <c r="E149" s="167">
        <f>'RTD Sched &amp; Prices'!I148</f>
        <v>0</v>
      </c>
      <c r="F149" s="167">
        <f t="shared" si="4"/>
        <v>0</v>
      </c>
      <c r="G149" s="12">
        <f t="shared" si="5"/>
        <v>0</v>
      </c>
    </row>
    <row r="150" spans="1:9">
      <c r="A150" s="292"/>
      <c r="B150" s="8">
        <v>0.51388888888888895</v>
      </c>
      <c r="C150" s="166">
        <f>MQ!AD150</f>
        <v>0</v>
      </c>
      <c r="D150" s="166">
        <f>(MQ!AE150)*-1</f>
        <v>0</v>
      </c>
      <c r="E150" s="167">
        <f>'RTD Sched &amp; Prices'!I149</f>
        <v>0</v>
      </c>
      <c r="F150" s="167">
        <f t="shared" si="4"/>
        <v>0</v>
      </c>
      <c r="G150" s="12">
        <f t="shared" si="5"/>
        <v>0</v>
      </c>
    </row>
    <row r="151" spans="1:9">
      <c r="A151" s="292"/>
      <c r="B151" s="8">
        <v>0.51736111111111105</v>
      </c>
      <c r="C151" s="166">
        <f>MQ!AD151</f>
        <v>0</v>
      </c>
      <c r="D151" s="166">
        <f>(MQ!AE151)*-1</f>
        <v>0</v>
      </c>
      <c r="E151" s="167">
        <f>'RTD Sched &amp; Prices'!I150</f>
        <v>0</v>
      </c>
      <c r="F151" s="167">
        <f t="shared" si="4"/>
        <v>0</v>
      </c>
      <c r="G151" s="12">
        <f t="shared" si="5"/>
        <v>0</v>
      </c>
    </row>
    <row r="152" spans="1:9">
      <c r="A152" s="292"/>
      <c r="B152" s="8">
        <v>0.52083333333333304</v>
      </c>
      <c r="C152" s="166">
        <f>MQ!AD152</f>
        <v>0</v>
      </c>
      <c r="D152" s="166">
        <f>(MQ!AE152)*-1</f>
        <v>0</v>
      </c>
      <c r="E152" s="167">
        <f>'RTD Sched &amp; Prices'!I151</f>
        <v>0</v>
      </c>
      <c r="F152" s="167">
        <f t="shared" si="4"/>
        <v>0</v>
      </c>
      <c r="G152" s="12">
        <f t="shared" si="5"/>
        <v>0</v>
      </c>
    </row>
    <row r="153" spans="1:9">
      <c r="A153" s="292"/>
      <c r="B153" s="8">
        <v>0.52430555555555503</v>
      </c>
      <c r="C153" s="166">
        <f>MQ!AD153</f>
        <v>0</v>
      </c>
      <c r="D153" s="166">
        <f>(MQ!AE153)*-1</f>
        <v>0</v>
      </c>
      <c r="E153" s="167">
        <f>'RTD Sched &amp; Prices'!I152</f>
        <v>0</v>
      </c>
      <c r="F153" s="167">
        <f t="shared" si="4"/>
        <v>0</v>
      </c>
      <c r="G153" s="12">
        <f t="shared" si="5"/>
        <v>0</v>
      </c>
    </row>
    <row r="154" spans="1:9">
      <c r="A154" s="292"/>
      <c r="B154" s="8">
        <v>0.52777777777777801</v>
      </c>
      <c r="C154" s="166">
        <f>MQ!AD154</f>
        <v>0</v>
      </c>
      <c r="D154" s="166">
        <f>(MQ!AE154)*-1</f>
        <v>0</v>
      </c>
      <c r="E154" s="167">
        <f>'RTD Sched &amp; Prices'!I153</f>
        <v>0</v>
      </c>
      <c r="F154" s="167">
        <f t="shared" si="4"/>
        <v>0</v>
      </c>
      <c r="G154" s="12">
        <f t="shared" si="5"/>
        <v>0</v>
      </c>
    </row>
    <row r="155" spans="1:9">
      <c r="A155" s="292"/>
      <c r="B155" s="8">
        <v>0.53125</v>
      </c>
      <c r="C155" s="166">
        <f>MQ!AD155</f>
        <v>0</v>
      </c>
      <c r="D155" s="166">
        <f>(MQ!AE155)*-1</f>
        <v>0</v>
      </c>
      <c r="E155" s="167">
        <f>'RTD Sched &amp; Prices'!I154</f>
        <v>0</v>
      </c>
      <c r="F155" s="167">
        <f t="shared" si="4"/>
        <v>0</v>
      </c>
      <c r="G155" s="12">
        <f t="shared" si="5"/>
        <v>0</v>
      </c>
    </row>
    <row r="156" spans="1:9">
      <c r="A156" s="292"/>
      <c r="B156" s="8">
        <v>0.53472222222222199</v>
      </c>
      <c r="C156" s="166">
        <f>MQ!AD156</f>
        <v>0</v>
      </c>
      <c r="D156" s="166">
        <f>(MQ!AE156)*-1</f>
        <v>0</v>
      </c>
      <c r="E156" s="167">
        <f>'RTD Sched &amp; Prices'!I155</f>
        <v>0</v>
      </c>
      <c r="F156" s="167">
        <f t="shared" si="4"/>
        <v>0</v>
      </c>
      <c r="G156" s="12">
        <f t="shared" si="5"/>
        <v>0</v>
      </c>
    </row>
    <row r="157" spans="1:9">
      <c r="A157" s="292"/>
      <c r="B157" s="8">
        <v>0.53819444444444398</v>
      </c>
      <c r="C157" s="166">
        <f>MQ!AD157</f>
        <v>0</v>
      </c>
      <c r="D157" s="166">
        <f>(MQ!AE157)*-1</f>
        <v>0</v>
      </c>
      <c r="E157" s="167">
        <f>'RTD Sched &amp; Prices'!I156</f>
        <v>0</v>
      </c>
      <c r="F157" s="167">
        <f t="shared" si="4"/>
        <v>0</v>
      </c>
      <c r="G157" s="12">
        <f t="shared" si="5"/>
        <v>0</v>
      </c>
    </row>
    <row r="158" spans="1:9">
      <c r="A158" s="292"/>
      <c r="B158" s="8">
        <v>0.54166666666666596</v>
      </c>
      <c r="C158" s="166">
        <f>MQ!AD158</f>
        <v>0</v>
      </c>
      <c r="D158" s="166">
        <f>(MQ!AE158)*-1</f>
        <v>0</v>
      </c>
      <c r="E158" s="167">
        <f>'RTD Sched &amp; Prices'!I157</f>
        <v>0</v>
      </c>
      <c r="F158" s="167">
        <f t="shared" si="4"/>
        <v>0</v>
      </c>
      <c r="G158" s="12">
        <f t="shared" si="5"/>
        <v>0</v>
      </c>
      <c r="H158" s="168">
        <f>SUM(F147:F158)</f>
        <v>0</v>
      </c>
      <c r="I158" s="168">
        <f>SUM(G147:G158)</f>
        <v>0</v>
      </c>
    </row>
    <row r="159" spans="1:9">
      <c r="A159" s="292" t="s">
        <v>15</v>
      </c>
      <c r="B159" s="8">
        <v>0.54513888888888895</v>
      </c>
      <c r="C159" s="166">
        <f>MQ!AD159</f>
        <v>0</v>
      </c>
      <c r="D159" s="166">
        <f>(MQ!AE159)*-1</f>
        <v>0</v>
      </c>
      <c r="E159" s="167">
        <f>'RTD Sched &amp; Prices'!I158</f>
        <v>0</v>
      </c>
      <c r="F159" s="167">
        <f t="shared" si="4"/>
        <v>0</v>
      </c>
      <c r="G159" s="12">
        <f t="shared" si="5"/>
        <v>0</v>
      </c>
    </row>
    <row r="160" spans="1:9">
      <c r="A160" s="292"/>
      <c r="B160" s="8">
        <v>0.54861111111111105</v>
      </c>
      <c r="C160" s="166">
        <f>MQ!AD160</f>
        <v>0</v>
      </c>
      <c r="D160" s="166">
        <f>(MQ!AE160)*-1</f>
        <v>0</v>
      </c>
      <c r="E160" s="167">
        <f>'RTD Sched &amp; Prices'!I159</f>
        <v>0</v>
      </c>
      <c r="F160" s="167">
        <f t="shared" si="4"/>
        <v>0</v>
      </c>
      <c r="G160" s="12">
        <f t="shared" si="5"/>
        <v>0</v>
      </c>
    </row>
    <row r="161" spans="1:9">
      <c r="A161" s="292"/>
      <c r="B161" s="8">
        <v>0.55208333333333304</v>
      </c>
      <c r="C161" s="166">
        <f>MQ!AD161</f>
        <v>0</v>
      </c>
      <c r="D161" s="166">
        <f>(MQ!AE161)*-1</f>
        <v>0</v>
      </c>
      <c r="E161" s="167">
        <f>'RTD Sched &amp; Prices'!I160</f>
        <v>0</v>
      </c>
      <c r="F161" s="167">
        <f t="shared" si="4"/>
        <v>0</v>
      </c>
      <c r="G161" s="12">
        <f t="shared" si="5"/>
        <v>0</v>
      </c>
    </row>
    <row r="162" spans="1:9">
      <c r="A162" s="292"/>
      <c r="B162" s="8">
        <v>0.55555555555555503</v>
      </c>
      <c r="C162" s="166">
        <f>MQ!AD162</f>
        <v>0</v>
      </c>
      <c r="D162" s="166">
        <f>(MQ!AE162)*-1</f>
        <v>0</v>
      </c>
      <c r="E162" s="167">
        <f>'RTD Sched &amp; Prices'!I161</f>
        <v>0</v>
      </c>
      <c r="F162" s="167">
        <f t="shared" si="4"/>
        <v>0</v>
      </c>
      <c r="G162" s="12">
        <f t="shared" si="5"/>
        <v>0</v>
      </c>
    </row>
    <row r="163" spans="1:9">
      <c r="A163" s="292"/>
      <c r="B163" s="8">
        <v>0.55902777777777801</v>
      </c>
      <c r="C163" s="166">
        <f>MQ!AD163</f>
        <v>0</v>
      </c>
      <c r="D163" s="166">
        <f>(MQ!AE163)*-1</f>
        <v>0</v>
      </c>
      <c r="E163" s="167">
        <f>'RTD Sched &amp; Prices'!I162</f>
        <v>0</v>
      </c>
      <c r="F163" s="167">
        <f t="shared" si="4"/>
        <v>0</v>
      </c>
      <c r="G163" s="12">
        <f t="shared" si="5"/>
        <v>0</v>
      </c>
    </row>
    <row r="164" spans="1:9">
      <c r="A164" s="292"/>
      <c r="B164" s="8">
        <v>0.5625</v>
      </c>
      <c r="C164" s="166">
        <f>MQ!AD164</f>
        <v>0</v>
      </c>
      <c r="D164" s="166">
        <f>(MQ!AE164)*-1</f>
        <v>0</v>
      </c>
      <c r="E164" s="167">
        <f>'RTD Sched &amp; Prices'!I163</f>
        <v>0</v>
      </c>
      <c r="F164" s="167">
        <f t="shared" si="4"/>
        <v>0</v>
      </c>
      <c r="G164" s="12">
        <f t="shared" si="5"/>
        <v>0</v>
      </c>
    </row>
    <row r="165" spans="1:9">
      <c r="A165" s="292"/>
      <c r="B165" s="8">
        <v>0.56597222222222199</v>
      </c>
      <c r="C165" s="166">
        <f>MQ!AD165</f>
        <v>0</v>
      </c>
      <c r="D165" s="166">
        <f>(MQ!AE165)*-1</f>
        <v>0</v>
      </c>
      <c r="E165" s="167">
        <f>'RTD Sched &amp; Prices'!I164</f>
        <v>0</v>
      </c>
      <c r="F165" s="167">
        <f t="shared" si="4"/>
        <v>0</v>
      </c>
      <c r="G165" s="12">
        <f t="shared" si="5"/>
        <v>0</v>
      </c>
    </row>
    <row r="166" spans="1:9">
      <c r="A166" s="292"/>
      <c r="B166" s="8">
        <v>0.56944444444444398</v>
      </c>
      <c r="C166" s="166">
        <f>MQ!AD166</f>
        <v>0</v>
      </c>
      <c r="D166" s="166">
        <f>(MQ!AE166)*-1</f>
        <v>0</v>
      </c>
      <c r="E166" s="167">
        <f>'RTD Sched &amp; Prices'!I165</f>
        <v>0</v>
      </c>
      <c r="F166" s="167">
        <f t="shared" si="4"/>
        <v>0</v>
      </c>
      <c r="G166" s="12">
        <f t="shared" si="5"/>
        <v>0</v>
      </c>
    </row>
    <row r="167" spans="1:9">
      <c r="A167" s="292"/>
      <c r="B167" s="8">
        <v>0.57291666666666596</v>
      </c>
      <c r="C167" s="166">
        <f>MQ!AD167</f>
        <v>0</v>
      </c>
      <c r="D167" s="166">
        <f>(MQ!AE167)*-1</f>
        <v>0</v>
      </c>
      <c r="E167" s="167">
        <f>'RTD Sched &amp; Prices'!I166</f>
        <v>0</v>
      </c>
      <c r="F167" s="167">
        <f t="shared" si="4"/>
        <v>0</v>
      </c>
      <c r="G167" s="12">
        <f t="shared" si="5"/>
        <v>0</v>
      </c>
    </row>
    <row r="168" spans="1:9">
      <c r="A168" s="292"/>
      <c r="B168" s="8">
        <v>0.57638888888888895</v>
      </c>
      <c r="C168" s="166">
        <f>MQ!AD168</f>
        <v>0</v>
      </c>
      <c r="D168" s="166">
        <f>(MQ!AE168)*-1</f>
        <v>0</v>
      </c>
      <c r="E168" s="167">
        <f>'RTD Sched &amp; Prices'!I167</f>
        <v>0</v>
      </c>
      <c r="F168" s="167">
        <f t="shared" si="4"/>
        <v>0</v>
      </c>
      <c r="G168" s="12">
        <f t="shared" si="5"/>
        <v>0</v>
      </c>
    </row>
    <row r="169" spans="1:9">
      <c r="A169" s="292"/>
      <c r="B169" s="8">
        <v>0.57986111111111105</v>
      </c>
      <c r="C169" s="166">
        <f>MQ!AD169</f>
        <v>0</v>
      </c>
      <c r="D169" s="166">
        <f>(MQ!AE169)*-1</f>
        <v>0</v>
      </c>
      <c r="E169" s="167">
        <f>'RTD Sched &amp; Prices'!I168</f>
        <v>0</v>
      </c>
      <c r="F169" s="167">
        <f t="shared" si="4"/>
        <v>0</v>
      </c>
      <c r="G169" s="12">
        <f t="shared" si="5"/>
        <v>0</v>
      </c>
    </row>
    <row r="170" spans="1:9">
      <c r="A170" s="292"/>
      <c r="B170" s="8">
        <v>0.58333333333333304</v>
      </c>
      <c r="C170" s="166">
        <f>MQ!AD170</f>
        <v>0</v>
      </c>
      <c r="D170" s="166">
        <f>(MQ!AE170)*-1</f>
        <v>0</v>
      </c>
      <c r="E170" s="167">
        <f>'RTD Sched &amp; Prices'!I169</f>
        <v>0</v>
      </c>
      <c r="F170" s="167">
        <f t="shared" si="4"/>
        <v>0</v>
      </c>
      <c r="G170" s="12">
        <f t="shared" si="5"/>
        <v>0</v>
      </c>
      <c r="H170" s="168">
        <f>SUM(F159:F170)</f>
        <v>0</v>
      </c>
      <c r="I170" s="168">
        <f>SUM(G159:G170)</f>
        <v>0</v>
      </c>
    </row>
    <row r="171" spans="1:9">
      <c r="A171" s="292" t="s">
        <v>16</v>
      </c>
      <c r="B171" s="8">
        <v>0.58680555555555503</v>
      </c>
      <c r="C171" s="166">
        <f>MQ!AD171</f>
        <v>0</v>
      </c>
      <c r="D171" s="166">
        <f>(MQ!AE171)*-1</f>
        <v>0</v>
      </c>
      <c r="E171" s="167">
        <f>'RTD Sched &amp; Prices'!I170</f>
        <v>0</v>
      </c>
      <c r="F171" s="167">
        <f t="shared" si="4"/>
        <v>0</v>
      </c>
      <c r="G171" s="12">
        <f t="shared" si="5"/>
        <v>0</v>
      </c>
    </row>
    <row r="172" spans="1:9">
      <c r="A172" s="292"/>
      <c r="B172" s="8">
        <v>0.59027777777777701</v>
      </c>
      <c r="C172" s="166">
        <f>MQ!AD172</f>
        <v>0</v>
      </c>
      <c r="D172" s="166">
        <f>(MQ!AE172)*-1</f>
        <v>0</v>
      </c>
      <c r="E172" s="167">
        <f>'RTD Sched &amp; Prices'!I171</f>
        <v>0</v>
      </c>
      <c r="F172" s="167">
        <f t="shared" si="4"/>
        <v>0</v>
      </c>
      <c r="G172" s="12">
        <f t="shared" si="5"/>
        <v>0</v>
      </c>
    </row>
    <row r="173" spans="1:9">
      <c r="A173" s="292"/>
      <c r="B173" s="8">
        <v>0.59375</v>
      </c>
      <c r="C173" s="166">
        <f>MQ!AD173</f>
        <v>0</v>
      </c>
      <c r="D173" s="166">
        <f>(MQ!AE173)*-1</f>
        <v>0</v>
      </c>
      <c r="E173" s="167">
        <f>'RTD Sched &amp; Prices'!I172</f>
        <v>0</v>
      </c>
      <c r="F173" s="167">
        <f t="shared" si="4"/>
        <v>0</v>
      </c>
      <c r="G173" s="12">
        <f t="shared" si="5"/>
        <v>0</v>
      </c>
    </row>
    <row r="174" spans="1:9">
      <c r="A174" s="292"/>
      <c r="B174" s="8">
        <v>0.59722222222222199</v>
      </c>
      <c r="C174" s="166">
        <f>MQ!AD174</f>
        <v>0</v>
      </c>
      <c r="D174" s="166">
        <f>(MQ!AE174)*-1</f>
        <v>0</v>
      </c>
      <c r="E174" s="167">
        <f>'RTD Sched &amp; Prices'!I173</f>
        <v>0</v>
      </c>
      <c r="F174" s="167">
        <f t="shared" si="4"/>
        <v>0</v>
      </c>
      <c r="G174" s="12">
        <f t="shared" si="5"/>
        <v>0</v>
      </c>
    </row>
    <row r="175" spans="1:9">
      <c r="A175" s="292"/>
      <c r="B175" s="8">
        <v>0.60069444444444398</v>
      </c>
      <c r="C175" s="166">
        <f>MQ!AD175</f>
        <v>0</v>
      </c>
      <c r="D175" s="166">
        <f>(MQ!AE175)*-1</f>
        <v>0</v>
      </c>
      <c r="E175" s="167">
        <f>'RTD Sched &amp; Prices'!I174</f>
        <v>0</v>
      </c>
      <c r="F175" s="167">
        <f t="shared" si="4"/>
        <v>0</v>
      </c>
      <c r="G175" s="12">
        <f t="shared" si="5"/>
        <v>0</v>
      </c>
    </row>
    <row r="176" spans="1:9">
      <c r="A176" s="292"/>
      <c r="B176" s="8">
        <v>0.60416666666666596</v>
      </c>
      <c r="C176" s="166">
        <f>MQ!AD176</f>
        <v>0</v>
      </c>
      <c r="D176" s="166">
        <f>(MQ!AE176)*-1</f>
        <v>0</v>
      </c>
      <c r="E176" s="167">
        <f>'RTD Sched &amp; Prices'!I175</f>
        <v>0</v>
      </c>
      <c r="F176" s="167">
        <f t="shared" si="4"/>
        <v>0</v>
      </c>
      <c r="G176" s="12">
        <f t="shared" si="5"/>
        <v>0</v>
      </c>
    </row>
    <row r="177" spans="1:9">
      <c r="A177" s="292"/>
      <c r="B177" s="8">
        <v>0.60763888888888895</v>
      </c>
      <c r="C177" s="166">
        <f>MQ!AD177</f>
        <v>0</v>
      </c>
      <c r="D177" s="166">
        <f>(MQ!AE177)*-1</f>
        <v>0</v>
      </c>
      <c r="E177" s="167">
        <f>'RTD Sched &amp; Prices'!I176</f>
        <v>0</v>
      </c>
      <c r="F177" s="167">
        <f t="shared" si="4"/>
        <v>0</v>
      </c>
      <c r="G177" s="12">
        <f t="shared" si="5"/>
        <v>0</v>
      </c>
    </row>
    <row r="178" spans="1:9">
      <c r="A178" s="292"/>
      <c r="B178" s="8">
        <v>0.61111111111111105</v>
      </c>
      <c r="C178" s="166">
        <f>MQ!AD178</f>
        <v>0</v>
      </c>
      <c r="D178" s="166">
        <f>(MQ!AE178)*-1</f>
        <v>0</v>
      </c>
      <c r="E178" s="167">
        <f>'RTD Sched &amp; Prices'!I177</f>
        <v>0</v>
      </c>
      <c r="F178" s="167">
        <f t="shared" si="4"/>
        <v>0</v>
      </c>
      <c r="G178" s="12">
        <f t="shared" si="5"/>
        <v>0</v>
      </c>
    </row>
    <row r="179" spans="1:9">
      <c r="A179" s="292"/>
      <c r="B179" s="8">
        <v>0.61458333333333304</v>
      </c>
      <c r="C179" s="166">
        <f>MQ!AD179</f>
        <v>0</v>
      </c>
      <c r="D179" s="166">
        <f>(MQ!AE179)*-1</f>
        <v>0</v>
      </c>
      <c r="E179" s="167">
        <f>'RTD Sched &amp; Prices'!I178</f>
        <v>0</v>
      </c>
      <c r="F179" s="167">
        <f t="shared" si="4"/>
        <v>0</v>
      </c>
      <c r="G179" s="12">
        <f t="shared" si="5"/>
        <v>0</v>
      </c>
    </row>
    <row r="180" spans="1:9">
      <c r="A180" s="292"/>
      <c r="B180" s="8">
        <v>0.61805555555555503</v>
      </c>
      <c r="C180" s="166">
        <f>MQ!AD180</f>
        <v>0</v>
      </c>
      <c r="D180" s="166">
        <f>(MQ!AE180)*-1</f>
        <v>0</v>
      </c>
      <c r="E180" s="167">
        <f>'RTD Sched &amp; Prices'!I179</f>
        <v>0</v>
      </c>
      <c r="F180" s="167">
        <f t="shared" si="4"/>
        <v>0</v>
      </c>
      <c r="G180" s="12">
        <f t="shared" si="5"/>
        <v>0</v>
      </c>
    </row>
    <row r="181" spans="1:9">
      <c r="A181" s="292"/>
      <c r="B181" s="8">
        <v>0.62152777777777701</v>
      </c>
      <c r="C181" s="166">
        <f>MQ!AD181</f>
        <v>0</v>
      </c>
      <c r="D181" s="166">
        <f>(MQ!AE181)*-1</f>
        <v>0</v>
      </c>
      <c r="E181" s="167">
        <f>'RTD Sched &amp; Prices'!I180</f>
        <v>0</v>
      </c>
      <c r="F181" s="167">
        <f t="shared" si="4"/>
        <v>0</v>
      </c>
      <c r="G181" s="12">
        <f t="shared" si="5"/>
        <v>0</v>
      </c>
    </row>
    <row r="182" spans="1:9">
      <c r="A182" s="292"/>
      <c r="B182" s="8">
        <v>0.625</v>
      </c>
      <c r="C182" s="166">
        <f>MQ!AD182</f>
        <v>0</v>
      </c>
      <c r="D182" s="166">
        <f>(MQ!AE182)*-1</f>
        <v>0</v>
      </c>
      <c r="E182" s="167">
        <f>'RTD Sched &amp; Prices'!I181</f>
        <v>0</v>
      </c>
      <c r="F182" s="167">
        <f t="shared" si="4"/>
        <v>0</v>
      </c>
      <c r="G182" s="12">
        <f t="shared" si="5"/>
        <v>0</v>
      </c>
      <c r="H182" s="168">
        <f>SUM(F171:F182)</f>
        <v>0</v>
      </c>
      <c r="I182" s="168">
        <f>SUM(G171:G182)</f>
        <v>0</v>
      </c>
    </row>
    <row r="183" spans="1:9">
      <c r="A183" s="292" t="s">
        <v>17</v>
      </c>
      <c r="B183" s="8">
        <v>0.62847222222222199</v>
      </c>
      <c r="C183" s="166">
        <f>MQ!AD183</f>
        <v>0</v>
      </c>
      <c r="D183" s="166">
        <f>(MQ!AE183)*-1</f>
        <v>0</v>
      </c>
      <c r="E183" s="167">
        <f>'RTD Sched &amp; Prices'!I182</f>
        <v>0</v>
      </c>
      <c r="F183" s="167">
        <f t="shared" si="4"/>
        <v>0</v>
      </c>
      <c r="G183" s="12">
        <f t="shared" si="5"/>
        <v>0</v>
      </c>
    </row>
    <row r="184" spans="1:9">
      <c r="A184" s="292"/>
      <c r="B184" s="8">
        <v>0.63194444444444398</v>
      </c>
      <c r="C184" s="166">
        <f>MQ!AD184</f>
        <v>0</v>
      </c>
      <c r="D184" s="166">
        <f>(MQ!AE184)*-1</f>
        <v>0</v>
      </c>
      <c r="E184" s="167">
        <f>'RTD Sched &amp; Prices'!I183</f>
        <v>0</v>
      </c>
      <c r="F184" s="167">
        <f t="shared" si="4"/>
        <v>0</v>
      </c>
      <c r="G184" s="12">
        <f t="shared" si="5"/>
        <v>0</v>
      </c>
    </row>
    <row r="185" spans="1:9">
      <c r="A185" s="292"/>
      <c r="B185" s="8">
        <v>0.63541666666666596</v>
      </c>
      <c r="C185" s="166">
        <f>MQ!AD185</f>
        <v>0</v>
      </c>
      <c r="D185" s="166">
        <f>(MQ!AE185)*-1</f>
        <v>0</v>
      </c>
      <c r="E185" s="167">
        <f>'RTD Sched &amp; Prices'!I184</f>
        <v>0</v>
      </c>
      <c r="F185" s="167">
        <f t="shared" si="4"/>
        <v>0</v>
      </c>
      <c r="G185" s="12">
        <f t="shared" si="5"/>
        <v>0</v>
      </c>
    </row>
    <row r="186" spans="1:9">
      <c r="A186" s="292"/>
      <c r="B186" s="8">
        <v>0.63888888888888895</v>
      </c>
      <c r="C186" s="166">
        <f>MQ!AD186</f>
        <v>0</v>
      </c>
      <c r="D186" s="166">
        <f>(MQ!AE186)*-1</f>
        <v>0</v>
      </c>
      <c r="E186" s="167">
        <f>'RTD Sched &amp; Prices'!I185</f>
        <v>0</v>
      </c>
      <c r="F186" s="167">
        <f t="shared" si="4"/>
        <v>0</v>
      </c>
      <c r="G186" s="12">
        <f t="shared" si="5"/>
        <v>0</v>
      </c>
    </row>
    <row r="187" spans="1:9">
      <c r="A187" s="292"/>
      <c r="B187" s="8">
        <v>0.64236111111111105</v>
      </c>
      <c r="C187" s="166">
        <f>MQ!AD187</f>
        <v>0</v>
      </c>
      <c r="D187" s="166">
        <f>(MQ!AE187)*-1</f>
        <v>0</v>
      </c>
      <c r="E187" s="167">
        <f>'RTD Sched &amp; Prices'!I186</f>
        <v>0</v>
      </c>
      <c r="F187" s="167">
        <f t="shared" si="4"/>
        <v>0</v>
      </c>
      <c r="G187" s="12">
        <f t="shared" si="5"/>
        <v>0</v>
      </c>
    </row>
    <row r="188" spans="1:9">
      <c r="A188" s="292"/>
      <c r="B188" s="8">
        <v>0.64583333333333304</v>
      </c>
      <c r="C188" s="166">
        <f>MQ!AD188</f>
        <v>0</v>
      </c>
      <c r="D188" s="166">
        <f>(MQ!AE188)*-1</f>
        <v>0</v>
      </c>
      <c r="E188" s="167">
        <f>'RTD Sched &amp; Prices'!I187</f>
        <v>0</v>
      </c>
      <c r="F188" s="167">
        <f t="shared" si="4"/>
        <v>0</v>
      </c>
      <c r="G188" s="12">
        <f t="shared" si="5"/>
        <v>0</v>
      </c>
    </row>
    <row r="189" spans="1:9">
      <c r="A189" s="292"/>
      <c r="B189" s="8">
        <v>0.64930555555555503</v>
      </c>
      <c r="C189" s="166">
        <f>MQ!AD189</f>
        <v>0</v>
      </c>
      <c r="D189" s="166">
        <f>(MQ!AE189)*-1</f>
        <v>0</v>
      </c>
      <c r="E189" s="167">
        <f>'RTD Sched &amp; Prices'!I188</f>
        <v>0</v>
      </c>
      <c r="F189" s="167">
        <f t="shared" si="4"/>
        <v>0</v>
      </c>
      <c r="G189" s="12">
        <f t="shared" si="5"/>
        <v>0</v>
      </c>
    </row>
    <row r="190" spans="1:9">
      <c r="A190" s="292"/>
      <c r="B190" s="8">
        <v>0.65277777777777701</v>
      </c>
      <c r="C190" s="166">
        <f>MQ!AD190</f>
        <v>0</v>
      </c>
      <c r="D190" s="166">
        <f>(MQ!AE190)*-1</f>
        <v>0</v>
      </c>
      <c r="E190" s="167">
        <f>'RTD Sched &amp; Prices'!I189</f>
        <v>0</v>
      </c>
      <c r="F190" s="167">
        <f t="shared" si="4"/>
        <v>0</v>
      </c>
      <c r="G190" s="12">
        <f t="shared" si="5"/>
        <v>0</v>
      </c>
    </row>
    <row r="191" spans="1:9">
      <c r="A191" s="292"/>
      <c r="B191" s="8">
        <v>0.65625</v>
      </c>
      <c r="C191" s="166">
        <f>MQ!AD191</f>
        <v>0</v>
      </c>
      <c r="D191" s="166">
        <f>(MQ!AE191)*-1</f>
        <v>0</v>
      </c>
      <c r="E191" s="167">
        <f>'RTD Sched &amp; Prices'!I190</f>
        <v>0</v>
      </c>
      <c r="F191" s="167">
        <f t="shared" si="4"/>
        <v>0</v>
      </c>
      <c r="G191" s="12">
        <f t="shared" si="5"/>
        <v>0</v>
      </c>
    </row>
    <row r="192" spans="1:9">
      <c r="A192" s="292"/>
      <c r="B192" s="8">
        <v>0.65972222222222199</v>
      </c>
      <c r="C192" s="166">
        <f>MQ!AD192</f>
        <v>0</v>
      </c>
      <c r="D192" s="166">
        <f>(MQ!AE192)*-1</f>
        <v>0</v>
      </c>
      <c r="E192" s="167">
        <f>'RTD Sched &amp; Prices'!I191</f>
        <v>0</v>
      </c>
      <c r="F192" s="167">
        <f t="shared" si="4"/>
        <v>0</v>
      </c>
      <c r="G192" s="12">
        <f t="shared" si="5"/>
        <v>0</v>
      </c>
    </row>
    <row r="193" spans="1:9">
      <c r="A193" s="292"/>
      <c r="B193" s="8">
        <v>0.66319444444444398</v>
      </c>
      <c r="C193" s="166">
        <f>MQ!AD193</f>
        <v>0</v>
      </c>
      <c r="D193" s="166">
        <f>(MQ!AE193)*-1</f>
        <v>0</v>
      </c>
      <c r="E193" s="167">
        <f>'RTD Sched &amp; Prices'!I192</f>
        <v>0</v>
      </c>
      <c r="F193" s="167">
        <f t="shared" si="4"/>
        <v>0</v>
      </c>
      <c r="G193" s="12">
        <f t="shared" si="5"/>
        <v>0</v>
      </c>
    </row>
    <row r="194" spans="1:9">
      <c r="A194" s="292"/>
      <c r="B194" s="8">
        <v>0.66666666666666596</v>
      </c>
      <c r="C194" s="166">
        <f>MQ!AD194</f>
        <v>0</v>
      </c>
      <c r="D194" s="166">
        <f>(MQ!AE194)*-1</f>
        <v>0</v>
      </c>
      <c r="E194" s="167">
        <f>'RTD Sched &amp; Prices'!I193</f>
        <v>0</v>
      </c>
      <c r="F194" s="167">
        <f t="shared" si="4"/>
        <v>0</v>
      </c>
      <c r="G194" s="12">
        <f t="shared" si="5"/>
        <v>0</v>
      </c>
      <c r="H194" s="168">
        <f>SUM(F183:F194)</f>
        <v>0</v>
      </c>
      <c r="I194" s="168">
        <f>SUM(G183:G194)</f>
        <v>0</v>
      </c>
    </row>
    <row r="195" spans="1:9">
      <c r="A195" s="292" t="s">
        <v>18</v>
      </c>
      <c r="B195" s="8">
        <v>0.67013888888888895</v>
      </c>
      <c r="C195" s="166">
        <f>MQ!AD195</f>
        <v>0</v>
      </c>
      <c r="D195" s="166">
        <f>(MQ!AE195)*-1</f>
        <v>0</v>
      </c>
      <c r="E195" s="167">
        <f>'RTD Sched &amp; Prices'!I194</f>
        <v>0</v>
      </c>
      <c r="F195" s="167">
        <f t="shared" si="4"/>
        <v>0</v>
      </c>
      <c r="G195" s="12">
        <f t="shared" si="5"/>
        <v>0</v>
      </c>
    </row>
    <row r="196" spans="1:9">
      <c r="A196" s="292"/>
      <c r="B196" s="8">
        <v>0.67361111111111105</v>
      </c>
      <c r="C196" s="166">
        <f>MQ!AD196</f>
        <v>0</v>
      </c>
      <c r="D196" s="166">
        <f>(MQ!AE196)*-1</f>
        <v>0</v>
      </c>
      <c r="E196" s="167">
        <f>'RTD Sched &amp; Prices'!I195</f>
        <v>0</v>
      </c>
      <c r="F196" s="167">
        <f t="shared" ref="F196:F259" si="6">C196*E196</f>
        <v>0</v>
      </c>
      <c r="G196" s="12">
        <f t="shared" ref="G196:G259" si="7">D196*E196</f>
        <v>0</v>
      </c>
    </row>
    <row r="197" spans="1:9">
      <c r="A197" s="292"/>
      <c r="B197" s="8">
        <v>0.67708333333333304</v>
      </c>
      <c r="C197" s="166">
        <f>MQ!AD197</f>
        <v>0</v>
      </c>
      <c r="D197" s="166">
        <f>(MQ!AE197)*-1</f>
        <v>0</v>
      </c>
      <c r="E197" s="167">
        <f>'RTD Sched &amp; Prices'!I196</f>
        <v>0</v>
      </c>
      <c r="F197" s="167">
        <f t="shared" si="6"/>
        <v>0</v>
      </c>
      <c r="G197" s="12">
        <f t="shared" si="7"/>
        <v>0</v>
      </c>
    </row>
    <row r="198" spans="1:9">
      <c r="A198" s="292"/>
      <c r="B198" s="8">
        <v>0.68055555555555503</v>
      </c>
      <c r="C198" s="166">
        <f>MQ!AD198</f>
        <v>0</v>
      </c>
      <c r="D198" s="166">
        <f>(MQ!AE198)*-1</f>
        <v>0</v>
      </c>
      <c r="E198" s="167">
        <f>'RTD Sched &amp; Prices'!I197</f>
        <v>0</v>
      </c>
      <c r="F198" s="167">
        <f t="shared" si="6"/>
        <v>0</v>
      </c>
      <c r="G198" s="12">
        <f t="shared" si="7"/>
        <v>0</v>
      </c>
    </row>
    <row r="199" spans="1:9">
      <c r="A199" s="292"/>
      <c r="B199" s="8">
        <v>0.68402777777777701</v>
      </c>
      <c r="C199" s="166">
        <f>MQ!AD199</f>
        <v>0</v>
      </c>
      <c r="D199" s="166">
        <f>(MQ!AE199)*-1</f>
        <v>0</v>
      </c>
      <c r="E199" s="167">
        <f>'RTD Sched &amp; Prices'!I198</f>
        <v>0</v>
      </c>
      <c r="F199" s="167">
        <f t="shared" si="6"/>
        <v>0</v>
      </c>
      <c r="G199" s="12">
        <f t="shared" si="7"/>
        <v>0</v>
      </c>
    </row>
    <row r="200" spans="1:9">
      <c r="A200" s="292"/>
      <c r="B200" s="8">
        <v>0.6875</v>
      </c>
      <c r="C200" s="166">
        <f>MQ!AD200</f>
        <v>0</v>
      </c>
      <c r="D200" s="166">
        <f>(MQ!AE200)*-1</f>
        <v>0</v>
      </c>
      <c r="E200" s="167">
        <f>'RTD Sched &amp; Prices'!I199</f>
        <v>0</v>
      </c>
      <c r="F200" s="167">
        <f t="shared" si="6"/>
        <v>0</v>
      </c>
      <c r="G200" s="12">
        <f t="shared" si="7"/>
        <v>0</v>
      </c>
    </row>
    <row r="201" spans="1:9">
      <c r="A201" s="292"/>
      <c r="B201" s="8">
        <v>0.69097222222222199</v>
      </c>
      <c r="C201" s="166">
        <f>MQ!AD201</f>
        <v>0</v>
      </c>
      <c r="D201" s="166">
        <f>(MQ!AE201)*-1</f>
        <v>0</v>
      </c>
      <c r="E201" s="167">
        <f>'RTD Sched &amp; Prices'!I200</f>
        <v>0</v>
      </c>
      <c r="F201" s="167">
        <f t="shared" si="6"/>
        <v>0</v>
      </c>
      <c r="G201" s="12">
        <f t="shared" si="7"/>
        <v>0</v>
      </c>
    </row>
    <row r="202" spans="1:9">
      <c r="A202" s="292"/>
      <c r="B202" s="8">
        <v>0.69444444444444398</v>
      </c>
      <c r="C202" s="166">
        <f>MQ!AD202</f>
        <v>0</v>
      </c>
      <c r="D202" s="166">
        <f>(MQ!AE202)*-1</f>
        <v>0</v>
      </c>
      <c r="E202" s="167">
        <f>'RTD Sched &amp; Prices'!I201</f>
        <v>0</v>
      </c>
      <c r="F202" s="167">
        <f t="shared" si="6"/>
        <v>0</v>
      </c>
      <c r="G202" s="12">
        <f t="shared" si="7"/>
        <v>0</v>
      </c>
    </row>
    <row r="203" spans="1:9">
      <c r="A203" s="292"/>
      <c r="B203" s="8">
        <v>0.69791666666666596</v>
      </c>
      <c r="C203" s="166">
        <f>MQ!AD203</f>
        <v>0</v>
      </c>
      <c r="D203" s="166">
        <f>(MQ!AE203)*-1</f>
        <v>0</v>
      </c>
      <c r="E203" s="167">
        <f>'RTD Sched &amp; Prices'!I202</f>
        <v>0</v>
      </c>
      <c r="F203" s="167">
        <f t="shared" si="6"/>
        <v>0</v>
      </c>
      <c r="G203" s="12">
        <f t="shared" si="7"/>
        <v>0</v>
      </c>
    </row>
    <row r="204" spans="1:9">
      <c r="A204" s="292"/>
      <c r="B204" s="8">
        <v>0.70138888888888895</v>
      </c>
      <c r="C204" s="166">
        <f>MQ!AD204</f>
        <v>0</v>
      </c>
      <c r="D204" s="166">
        <f>(MQ!AE204)*-1</f>
        <v>0</v>
      </c>
      <c r="E204" s="167">
        <f>'RTD Sched &amp; Prices'!I203</f>
        <v>0</v>
      </c>
      <c r="F204" s="167">
        <f t="shared" si="6"/>
        <v>0</v>
      </c>
      <c r="G204" s="12">
        <f t="shared" si="7"/>
        <v>0</v>
      </c>
    </row>
    <row r="205" spans="1:9">
      <c r="A205" s="292"/>
      <c r="B205" s="8">
        <v>0.70486111111111105</v>
      </c>
      <c r="C205" s="166">
        <f>MQ!AD205</f>
        <v>0</v>
      </c>
      <c r="D205" s="166">
        <f>(MQ!AE205)*-1</f>
        <v>0</v>
      </c>
      <c r="E205" s="167">
        <f>'RTD Sched &amp; Prices'!I204</f>
        <v>0</v>
      </c>
      <c r="F205" s="167">
        <f t="shared" si="6"/>
        <v>0</v>
      </c>
      <c r="G205" s="12">
        <f t="shared" si="7"/>
        <v>0</v>
      </c>
    </row>
    <row r="206" spans="1:9">
      <c r="A206" s="292"/>
      <c r="B206" s="8">
        <v>0.70833333333333304</v>
      </c>
      <c r="C206" s="166">
        <f>MQ!AD206</f>
        <v>0</v>
      </c>
      <c r="D206" s="166">
        <f>(MQ!AE206)*-1</f>
        <v>0</v>
      </c>
      <c r="E206" s="167">
        <f>'RTD Sched &amp; Prices'!I205</f>
        <v>0</v>
      </c>
      <c r="F206" s="167">
        <f t="shared" si="6"/>
        <v>0</v>
      </c>
      <c r="G206" s="12">
        <f t="shared" si="7"/>
        <v>0</v>
      </c>
      <c r="H206" s="168">
        <f>SUM(F195:F206)</f>
        <v>0</v>
      </c>
      <c r="I206" s="168">
        <f>SUM(G195:G206)</f>
        <v>0</v>
      </c>
    </row>
    <row r="207" spans="1:9">
      <c r="A207" s="292" t="s">
        <v>19</v>
      </c>
      <c r="B207" s="8">
        <v>0.71180555555555503</v>
      </c>
      <c r="C207" s="166">
        <f>MQ!AD207</f>
        <v>0</v>
      </c>
      <c r="D207" s="166">
        <f>(MQ!AE207)*-1</f>
        <v>0</v>
      </c>
      <c r="E207" s="167">
        <f>'RTD Sched &amp; Prices'!I206</f>
        <v>0</v>
      </c>
      <c r="F207" s="167">
        <f t="shared" si="6"/>
        <v>0</v>
      </c>
      <c r="G207" s="12">
        <f t="shared" si="7"/>
        <v>0</v>
      </c>
    </row>
    <row r="208" spans="1:9">
      <c r="A208" s="292"/>
      <c r="B208" s="8">
        <v>0.71527777777777701</v>
      </c>
      <c r="C208" s="166">
        <f>MQ!AD208</f>
        <v>0</v>
      </c>
      <c r="D208" s="166">
        <f>(MQ!AE208)*-1</f>
        <v>0</v>
      </c>
      <c r="E208" s="167">
        <f>'RTD Sched &amp; Prices'!I207</f>
        <v>0</v>
      </c>
      <c r="F208" s="167">
        <f t="shared" si="6"/>
        <v>0</v>
      </c>
      <c r="G208" s="12">
        <f t="shared" si="7"/>
        <v>0</v>
      </c>
    </row>
    <row r="209" spans="1:9">
      <c r="A209" s="292"/>
      <c r="B209" s="8">
        <v>0.71875</v>
      </c>
      <c r="C209" s="166">
        <f>MQ!AD209</f>
        <v>0</v>
      </c>
      <c r="D209" s="166">
        <f>(MQ!AE209)*-1</f>
        <v>0</v>
      </c>
      <c r="E209" s="167">
        <f>'RTD Sched &amp; Prices'!I208</f>
        <v>0</v>
      </c>
      <c r="F209" s="167">
        <f t="shared" si="6"/>
        <v>0</v>
      </c>
      <c r="G209" s="12">
        <f t="shared" si="7"/>
        <v>0</v>
      </c>
    </row>
    <row r="210" spans="1:9">
      <c r="A210" s="292"/>
      <c r="B210" s="8">
        <v>0.72222222222222199</v>
      </c>
      <c r="C210" s="166">
        <f>MQ!AD210</f>
        <v>0</v>
      </c>
      <c r="D210" s="166">
        <f>(MQ!AE210)*-1</f>
        <v>0</v>
      </c>
      <c r="E210" s="167">
        <f>'RTD Sched &amp; Prices'!I209</f>
        <v>0</v>
      </c>
      <c r="F210" s="167">
        <f t="shared" si="6"/>
        <v>0</v>
      </c>
      <c r="G210" s="12">
        <f t="shared" si="7"/>
        <v>0</v>
      </c>
    </row>
    <row r="211" spans="1:9">
      <c r="A211" s="292"/>
      <c r="B211" s="8">
        <v>0.72569444444444398</v>
      </c>
      <c r="C211" s="166">
        <f>MQ!AD211</f>
        <v>0</v>
      </c>
      <c r="D211" s="166">
        <f>(MQ!AE211)*-1</f>
        <v>0</v>
      </c>
      <c r="E211" s="167">
        <f>'RTD Sched &amp; Prices'!I210</f>
        <v>0</v>
      </c>
      <c r="F211" s="167">
        <f t="shared" si="6"/>
        <v>0</v>
      </c>
      <c r="G211" s="12">
        <f t="shared" si="7"/>
        <v>0</v>
      </c>
    </row>
    <row r="212" spans="1:9">
      <c r="A212" s="292"/>
      <c r="B212" s="8">
        <v>0.72916666666666596</v>
      </c>
      <c r="C212" s="166">
        <f>MQ!AD212</f>
        <v>0</v>
      </c>
      <c r="D212" s="166">
        <f>(MQ!AE212)*-1</f>
        <v>0</v>
      </c>
      <c r="E212" s="167">
        <f>'RTD Sched &amp; Prices'!I211</f>
        <v>0</v>
      </c>
      <c r="F212" s="167">
        <f t="shared" si="6"/>
        <v>0</v>
      </c>
      <c r="G212" s="12">
        <f t="shared" si="7"/>
        <v>0</v>
      </c>
    </row>
    <row r="213" spans="1:9">
      <c r="A213" s="292"/>
      <c r="B213" s="8">
        <v>0.73263888888888895</v>
      </c>
      <c r="C213" s="166">
        <f>MQ!AD213</f>
        <v>0</v>
      </c>
      <c r="D213" s="166">
        <f>(MQ!AE213)*-1</f>
        <v>0</v>
      </c>
      <c r="E213" s="167">
        <f>'RTD Sched &amp; Prices'!I212</f>
        <v>0</v>
      </c>
      <c r="F213" s="167">
        <f t="shared" si="6"/>
        <v>0</v>
      </c>
      <c r="G213" s="12">
        <f t="shared" si="7"/>
        <v>0</v>
      </c>
    </row>
    <row r="214" spans="1:9">
      <c r="A214" s="292"/>
      <c r="B214" s="8">
        <v>0.73611111111111105</v>
      </c>
      <c r="C214" s="166">
        <f>MQ!AD214</f>
        <v>0</v>
      </c>
      <c r="D214" s="166">
        <f>(MQ!AE214)*-1</f>
        <v>0</v>
      </c>
      <c r="E214" s="167">
        <f>'RTD Sched &amp; Prices'!I213</f>
        <v>0</v>
      </c>
      <c r="F214" s="167">
        <f t="shared" si="6"/>
        <v>0</v>
      </c>
      <c r="G214" s="12">
        <f t="shared" si="7"/>
        <v>0</v>
      </c>
    </row>
    <row r="215" spans="1:9">
      <c r="A215" s="292"/>
      <c r="B215" s="8">
        <v>0.73958333333333304</v>
      </c>
      <c r="C215" s="166">
        <f>MQ!AD215</f>
        <v>0</v>
      </c>
      <c r="D215" s="166">
        <f>(MQ!AE215)*-1</f>
        <v>0</v>
      </c>
      <c r="E215" s="167">
        <f>'RTD Sched &amp; Prices'!I214</f>
        <v>0</v>
      </c>
      <c r="F215" s="167">
        <f t="shared" si="6"/>
        <v>0</v>
      </c>
      <c r="G215" s="12">
        <f t="shared" si="7"/>
        <v>0</v>
      </c>
    </row>
    <row r="216" spans="1:9">
      <c r="A216" s="292"/>
      <c r="B216" s="8">
        <v>0.74305555555555503</v>
      </c>
      <c r="C216" s="166">
        <f>MQ!AD216</f>
        <v>0</v>
      </c>
      <c r="D216" s="166">
        <f>(MQ!AE216)*-1</f>
        <v>0</v>
      </c>
      <c r="E216" s="167">
        <f>'RTD Sched &amp; Prices'!I215</f>
        <v>0</v>
      </c>
      <c r="F216" s="167">
        <f t="shared" si="6"/>
        <v>0</v>
      </c>
      <c r="G216" s="12">
        <f t="shared" si="7"/>
        <v>0</v>
      </c>
    </row>
    <row r="217" spans="1:9">
      <c r="A217" s="292"/>
      <c r="B217" s="8">
        <v>0.74652777777777701</v>
      </c>
      <c r="C217" s="166">
        <f>MQ!AD217</f>
        <v>0</v>
      </c>
      <c r="D217" s="166">
        <f>(MQ!AE217)*-1</f>
        <v>0</v>
      </c>
      <c r="E217" s="167">
        <f>'RTD Sched &amp; Prices'!I216</f>
        <v>0</v>
      </c>
      <c r="F217" s="167">
        <f t="shared" si="6"/>
        <v>0</v>
      </c>
      <c r="G217" s="12">
        <f t="shared" si="7"/>
        <v>0</v>
      </c>
    </row>
    <row r="218" spans="1:9">
      <c r="A218" s="292"/>
      <c r="B218" s="8">
        <v>0.75</v>
      </c>
      <c r="C218" s="166">
        <f>MQ!AD218</f>
        <v>0</v>
      </c>
      <c r="D218" s="166">
        <f>(MQ!AE218)*-1</f>
        <v>0</v>
      </c>
      <c r="E218" s="167">
        <f>'RTD Sched &amp; Prices'!I217</f>
        <v>0</v>
      </c>
      <c r="F218" s="167">
        <f t="shared" si="6"/>
        <v>0</v>
      </c>
      <c r="G218" s="12">
        <f t="shared" si="7"/>
        <v>0</v>
      </c>
      <c r="H218" s="168">
        <f>SUM(F207:F218)</f>
        <v>0</v>
      </c>
      <c r="I218" s="168">
        <f>SUM(G207:G218)</f>
        <v>0</v>
      </c>
    </row>
    <row r="219" spans="1:9">
      <c r="A219" s="292" t="s">
        <v>20</v>
      </c>
      <c r="B219" s="8">
        <v>0.75347222222222199</v>
      </c>
      <c r="C219" s="166">
        <f>MQ!AD219</f>
        <v>0</v>
      </c>
      <c r="D219" s="166">
        <f>(MQ!AE219)*-1</f>
        <v>0</v>
      </c>
      <c r="E219" s="167">
        <f>'RTD Sched &amp; Prices'!I218</f>
        <v>0</v>
      </c>
      <c r="F219" s="167">
        <f t="shared" si="6"/>
        <v>0</v>
      </c>
      <c r="G219" s="12">
        <f t="shared" si="7"/>
        <v>0</v>
      </c>
    </row>
    <row r="220" spans="1:9">
      <c r="A220" s="292"/>
      <c r="B220" s="8">
        <v>0.75694444444444398</v>
      </c>
      <c r="C220" s="166">
        <f>MQ!AD220</f>
        <v>0</v>
      </c>
      <c r="D220" s="166">
        <f>(MQ!AE220)*-1</f>
        <v>0</v>
      </c>
      <c r="E220" s="167">
        <f>'RTD Sched &amp; Prices'!I219</f>
        <v>0</v>
      </c>
      <c r="F220" s="167">
        <f t="shared" si="6"/>
        <v>0</v>
      </c>
      <c r="G220" s="12">
        <f t="shared" si="7"/>
        <v>0</v>
      </c>
    </row>
    <row r="221" spans="1:9">
      <c r="A221" s="292"/>
      <c r="B221" s="8">
        <v>0.76041666666666596</v>
      </c>
      <c r="C221" s="166">
        <f>MQ!AD221</f>
        <v>0</v>
      </c>
      <c r="D221" s="166">
        <f>(MQ!AE221)*-1</f>
        <v>0</v>
      </c>
      <c r="E221" s="167">
        <f>'RTD Sched &amp; Prices'!I220</f>
        <v>0</v>
      </c>
      <c r="F221" s="167">
        <f t="shared" si="6"/>
        <v>0</v>
      </c>
      <c r="G221" s="12">
        <f t="shared" si="7"/>
        <v>0</v>
      </c>
    </row>
    <row r="222" spans="1:9">
      <c r="A222" s="292"/>
      <c r="B222" s="8">
        <v>0.76388888888888895</v>
      </c>
      <c r="C222" s="166">
        <f>MQ!AD222</f>
        <v>0</v>
      </c>
      <c r="D222" s="166">
        <f>(MQ!AE222)*-1</f>
        <v>0</v>
      </c>
      <c r="E222" s="167">
        <f>'RTD Sched &amp; Prices'!I221</f>
        <v>0</v>
      </c>
      <c r="F222" s="167">
        <f t="shared" si="6"/>
        <v>0</v>
      </c>
      <c r="G222" s="12">
        <f t="shared" si="7"/>
        <v>0</v>
      </c>
    </row>
    <row r="223" spans="1:9">
      <c r="A223" s="292"/>
      <c r="B223" s="8">
        <v>0.76736111111111105</v>
      </c>
      <c r="C223" s="166">
        <f>MQ!AD223</f>
        <v>0</v>
      </c>
      <c r="D223" s="166">
        <f>(MQ!AE223)*-1</f>
        <v>0</v>
      </c>
      <c r="E223" s="167">
        <f>'RTD Sched &amp; Prices'!I222</f>
        <v>0</v>
      </c>
      <c r="F223" s="167">
        <f t="shared" si="6"/>
        <v>0</v>
      </c>
      <c r="G223" s="12">
        <f t="shared" si="7"/>
        <v>0</v>
      </c>
    </row>
    <row r="224" spans="1:9">
      <c r="A224" s="292"/>
      <c r="B224" s="8">
        <v>0.77083333333333304</v>
      </c>
      <c r="C224" s="166">
        <f>MQ!AD224</f>
        <v>0</v>
      </c>
      <c r="D224" s="166">
        <f>(MQ!AE224)*-1</f>
        <v>0</v>
      </c>
      <c r="E224" s="167">
        <f>'RTD Sched &amp; Prices'!I223</f>
        <v>0</v>
      </c>
      <c r="F224" s="167">
        <f t="shared" si="6"/>
        <v>0</v>
      </c>
      <c r="G224" s="12">
        <f t="shared" si="7"/>
        <v>0</v>
      </c>
    </row>
    <row r="225" spans="1:9">
      <c r="A225" s="292"/>
      <c r="B225" s="8">
        <v>0.77430555555555503</v>
      </c>
      <c r="C225" s="166">
        <f>MQ!AD225</f>
        <v>0</v>
      </c>
      <c r="D225" s="166">
        <f>(MQ!AE225)*-1</f>
        <v>0</v>
      </c>
      <c r="E225" s="167">
        <f>'RTD Sched &amp; Prices'!I224</f>
        <v>0</v>
      </c>
      <c r="F225" s="167">
        <f t="shared" si="6"/>
        <v>0</v>
      </c>
      <c r="G225" s="12">
        <f t="shared" si="7"/>
        <v>0</v>
      </c>
    </row>
    <row r="226" spans="1:9">
      <c r="A226" s="292"/>
      <c r="B226" s="8">
        <v>0.77777777777777701</v>
      </c>
      <c r="C226" s="166">
        <f>MQ!AD226</f>
        <v>0</v>
      </c>
      <c r="D226" s="166">
        <f>(MQ!AE226)*-1</f>
        <v>0</v>
      </c>
      <c r="E226" s="167">
        <f>'RTD Sched &amp; Prices'!I225</f>
        <v>0</v>
      </c>
      <c r="F226" s="167">
        <f t="shared" si="6"/>
        <v>0</v>
      </c>
      <c r="G226" s="12">
        <f t="shared" si="7"/>
        <v>0</v>
      </c>
    </row>
    <row r="227" spans="1:9">
      <c r="A227" s="292"/>
      <c r="B227" s="8">
        <v>0.78125</v>
      </c>
      <c r="C227" s="166">
        <f>MQ!AD227</f>
        <v>0</v>
      </c>
      <c r="D227" s="166">
        <f>(MQ!AE227)*-1</f>
        <v>0</v>
      </c>
      <c r="E227" s="167">
        <f>'RTD Sched &amp; Prices'!I226</f>
        <v>0</v>
      </c>
      <c r="F227" s="167">
        <f t="shared" si="6"/>
        <v>0</v>
      </c>
      <c r="G227" s="12">
        <f t="shared" si="7"/>
        <v>0</v>
      </c>
    </row>
    <row r="228" spans="1:9">
      <c r="A228" s="292"/>
      <c r="B228" s="8">
        <v>0.78472222222222199</v>
      </c>
      <c r="C228" s="166">
        <f>MQ!AD228</f>
        <v>0</v>
      </c>
      <c r="D228" s="166">
        <f>(MQ!AE228)*-1</f>
        <v>0</v>
      </c>
      <c r="E228" s="167">
        <f>'RTD Sched &amp; Prices'!I227</f>
        <v>0</v>
      </c>
      <c r="F228" s="167">
        <f t="shared" si="6"/>
        <v>0</v>
      </c>
      <c r="G228" s="12">
        <f t="shared" si="7"/>
        <v>0</v>
      </c>
    </row>
    <row r="229" spans="1:9">
      <c r="A229" s="292"/>
      <c r="B229" s="8">
        <v>0.78819444444444398</v>
      </c>
      <c r="C229" s="166">
        <f>MQ!AD229</f>
        <v>0</v>
      </c>
      <c r="D229" s="166">
        <f>(MQ!AE229)*-1</f>
        <v>0</v>
      </c>
      <c r="E229" s="167">
        <f>'RTD Sched &amp; Prices'!I228</f>
        <v>0</v>
      </c>
      <c r="F229" s="167">
        <f t="shared" si="6"/>
        <v>0</v>
      </c>
      <c r="G229" s="12">
        <f t="shared" si="7"/>
        <v>0</v>
      </c>
    </row>
    <row r="230" spans="1:9">
      <c r="A230" s="292"/>
      <c r="B230" s="8">
        <v>0.79166666666666596</v>
      </c>
      <c r="C230" s="166">
        <f>MQ!AD230</f>
        <v>0</v>
      </c>
      <c r="D230" s="166">
        <f>(MQ!AE230)*-1</f>
        <v>0</v>
      </c>
      <c r="E230" s="167">
        <f>'RTD Sched &amp; Prices'!I229</f>
        <v>0</v>
      </c>
      <c r="F230" s="167">
        <f t="shared" si="6"/>
        <v>0</v>
      </c>
      <c r="G230" s="12">
        <f t="shared" si="7"/>
        <v>0</v>
      </c>
      <c r="H230" s="168">
        <f>SUM(F219:F230)</f>
        <v>0</v>
      </c>
      <c r="I230" s="168">
        <f>SUM(G219:G230)</f>
        <v>0</v>
      </c>
    </row>
    <row r="231" spans="1:9">
      <c r="A231" s="292" t="s">
        <v>21</v>
      </c>
      <c r="B231" s="8">
        <v>0.79513888888888895</v>
      </c>
      <c r="C231" s="166">
        <f>MQ!AD231</f>
        <v>0</v>
      </c>
      <c r="D231" s="166">
        <f>(MQ!AE231)*-1</f>
        <v>0</v>
      </c>
      <c r="E231" s="167">
        <f>'RTD Sched &amp; Prices'!I230</f>
        <v>0</v>
      </c>
      <c r="F231" s="167">
        <f t="shared" si="6"/>
        <v>0</v>
      </c>
      <c r="G231" s="12">
        <f t="shared" si="7"/>
        <v>0</v>
      </c>
    </row>
    <row r="232" spans="1:9">
      <c r="A232" s="292"/>
      <c r="B232" s="8">
        <v>0.79861111111111105</v>
      </c>
      <c r="C232" s="166">
        <f>MQ!AD232</f>
        <v>0</v>
      </c>
      <c r="D232" s="166">
        <f>(MQ!AE232)*-1</f>
        <v>0</v>
      </c>
      <c r="E232" s="167">
        <f>'RTD Sched &amp; Prices'!I231</f>
        <v>0</v>
      </c>
      <c r="F232" s="167">
        <f t="shared" si="6"/>
        <v>0</v>
      </c>
      <c r="G232" s="12">
        <f t="shared" si="7"/>
        <v>0</v>
      </c>
    </row>
    <row r="233" spans="1:9">
      <c r="A233" s="292"/>
      <c r="B233" s="8">
        <v>0.80208333333333304</v>
      </c>
      <c r="C233" s="166">
        <f>MQ!AD233</f>
        <v>0</v>
      </c>
      <c r="D233" s="166">
        <f>(MQ!AE233)*-1</f>
        <v>0</v>
      </c>
      <c r="E233" s="167">
        <f>'RTD Sched &amp; Prices'!I232</f>
        <v>0</v>
      </c>
      <c r="F233" s="167">
        <f t="shared" si="6"/>
        <v>0</v>
      </c>
      <c r="G233" s="12">
        <f t="shared" si="7"/>
        <v>0</v>
      </c>
    </row>
    <row r="234" spans="1:9">
      <c r="A234" s="292"/>
      <c r="B234" s="8">
        <v>0.80555555555555503</v>
      </c>
      <c r="C234" s="166">
        <f>MQ!AD234</f>
        <v>0</v>
      </c>
      <c r="D234" s="166">
        <f>(MQ!AE234)*-1</f>
        <v>0</v>
      </c>
      <c r="E234" s="167">
        <f>'RTD Sched &amp; Prices'!I233</f>
        <v>0</v>
      </c>
      <c r="F234" s="167">
        <f t="shared" si="6"/>
        <v>0</v>
      </c>
      <c r="G234" s="12">
        <f t="shared" si="7"/>
        <v>0</v>
      </c>
    </row>
    <row r="235" spans="1:9">
      <c r="A235" s="292"/>
      <c r="B235" s="8">
        <v>0.80902777777777701</v>
      </c>
      <c r="C235" s="166">
        <f>MQ!AD235</f>
        <v>0</v>
      </c>
      <c r="D235" s="166">
        <f>(MQ!AE235)*-1</f>
        <v>0</v>
      </c>
      <c r="E235" s="167">
        <f>'RTD Sched &amp; Prices'!I234</f>
        <v>0</v>
      </c>
      <c r="F235" s="167">
        <f t="shared" si="6"/>
        <v>0</v>
      </c>
      <c r="G235" s="12">
        <f t="shared" si="7"/>
        <v>0</v>
      </c>
    </row>
    <row r="236" spans="1:9">
      <c r="A236" s="292"/>
      <c r="B236" s="8">
        <v>0.8125</v>
      </c>
      <c r="C236" s="166">
        <f>MQ!AD236</f>
        <v>0</v>
      </c>
      <c r="D236" s="166">
        <f>(MQ!AE236)*-1</f>
        <v>0</v>
      </c>
      <c r="E236" s="167">
        <f>'RTD Sched &amp; Prices'!I235</f>
        <v>0</v>
      </c>
      <c r="F236" s="167">
        <f t="shared" si="6"/>
        <v>0</v>
      </c>
      <c r="G236" s="12">
        <f t="shared" si="7"/>
        <v>0</v>
      </c>
    </row>
    <row r="237" spans="1:9">
      <c r="A237" s="292"/>
      <c r="B237" s="8">
        <v>0.81597222222222199</v>
      </c>
      <c r="C237" s="166">
        <f>MQ!AD237</f>
        <v>0</v>
      </c>
      <c r="D237" s="166">
        <f>(MQ!AE237)*-1</f>
        <v>0</v>
      </c>
      <c r="E237" s="167">
        <f>'RTD Sched &amp; Prices'!I236</f>
        <v>0</v>
      </c>
      <c r="F237" s="167">
        <f t="shared" si="6"/>
        <v>0</v>
      </c>
      <c r="G237" s="12">
        <f t="shared" si="7"/>
        <v>0</v>
      </c>
    </row>
    <row r="238" spans="1:9">
      <c r="A238" s="292"/>
      <c r="B238" s="8">
        <v>0.81944444444444398</v>
      </c>
      <c r="C238" s="166">
        <f>MQ!AD238</f>
        <v>0</v>
      </c>
      <c r="D238" s="166">
        <f>(MQ!AE238)*-1</f>
        <v>0</v>
      </c>
      <c r="E238" s="167">
        <f>'RTD Sched &amp; Prices'!I237</f>
        <v>0</v>
      </c>
      <c r="F238" s="167">
        <f t="shared" si="6"/>
        <v>0</v>
      </c>
      <c r="G238" s="12">
        <f t="shared" si="7"/>
        <v>0</v>
      </c>
    </row>
    <row r="239" spans="1:9">
      <c r="A239" s="292"/>
      <c r="B239" s="8">
        <v>0.82291666666666596</v>
      </c>
      <c r="C239" s="166">
        <f>MQ!AD239</f>
        <v>0</v>
      </c>
      <c r="D239" s="166">
        <f>(MQ!AE239)*-1</f>
        <v>0</v>
      </c>
      <c r="E239" s="167">
        <f>'RTD Sched &amp; Prices'!I238</f>
        <v>0</v>
      </c>
      <c r="F239" s="167">
        <f t="shared" si="6"/>
        <v>0</v>
      </c>
      <c r="G239" s="12">
        <f t="shared" si="7"/>
        <v>0</v>
      </c>
    </row>
    <row r="240" spans="1:9">
      <c r="A240" s="292"/>
      <c r="B240" s="8">
        <v>0.82638888888888895</v>
      </c>
      <c r="C240" s="166">
        <f>MQ!AD240</f>
        <v>0</v>
      </c>
      <c r="D240" s="166">
        <f>(MQ!AE240)*-1</f>
        <v>0</v>
      </c>
      <c r="E240" s="167">
        <f>'RTD Sched &amp; Prices'!I239</f>
        <v>0</v>
      </c>
      <c r="F240" s="167">
        <f t="shared" si="6"/>
        <v>0</v>
      </c>
      <c r="G240" s="12">
        <f t="shared" si="7"/>
        <v>0</v>
      </c>
    </row>
    <row r="241" spans="1:9">
      <c r="A241" s="292"/>
      <c r="B241" s="8">
        <v>0.82986111111111105</v>
      </c>
      <c r="C241" s="166">
        <f>MQ!AD241</f>
        <v>0</v>
      </c>
      <c r="D241" s="166">
        <f>(MQ!AE241)*-1</f>
        <v>0</v>
      </c>
      <c r="E241" s="167">
        <f>'RTD Sched &amp; Prices'!I240</f>
        <v>0</v>
      </c>
      <c r="F241" s="167">
        <f t="shared" si="6"/>
        <v>0</v>
      </c>
      <c r="G241" s="12">
        <f t="shared" si="7"/>
        <v>0</v>
      </c>
    </row>
    <row r="242" spans="1:9">
      <c r="A242" s="292"/>
      <c r="B242" s="8">
        <v>0.83333333333333304</v>
      </c>
      <c r="C242" s="166">
        <f>MQ!AD242</f>
        <v>0</v>
      </c>
      <c r="D242" s="166">
        <f>(MQ!AE242)*-1</f>
        <v>0</v>
      </c>
      <c r="E242" s="167">
        <f>'RTD Sched &amp; Prices'!I241</f>
        <v>0</v>
      </c>
      <c r="F242" s="167">
        <f t="shared" si="6"/>
        <v>0</v>
      </c>
      <c r="G242" s="12">
        <f t="shared" si="7"/>
        <v>0</v>
      </c>
      <c r="H242" s="168">
        <f>SUM(F231:F242)</f>
        <v>0</v>
      </c>
      <c r="I242" s="168">
        <f>SUM(G231:G242)</f>
        <v>0</v>
      </c>
    </row>
    <row r="243" spans="1:9">
      <c r="A243" s="292" t="s">
        <v>22</v>
      </c>
      <c r="B243" s="8">
        <v>0.83680555555555503</v>
      </c>
      <c r="C243" s="166">
        <f>MQ!AD243</f>
        <v>0</v>
      </c>
      <c r="D243" s="166">
        <f>(MQ!AE243)*-1</f>
        <v>0</v>
      </c>
      <c r="E243" s="167">
        <f>'RTD Sched &amp; Prices'!I242</f>
        <v>0</v>
      </c>
      <c r="F243" s="167">
        <f t="shared" si="6"/>
        <v>0</v>
      </c>
      <c r="G243" s="12">
        <f t="shared" si="7"/>
        <v>0</v>
      </c>
    </row>
    <row r="244" spans="1:9">
      <c r="A244" s="292"/>
      <c r="B244" s="8">
        <v>0.84027777777777701</v>
      </c>
      <c r="C244" s="166">
        <f>MQ!AD244</f>
        <v>0</v>
      </c>
      <c r="D244" s="166">
        <f>(MQ!AE244)*-1</f>
        <v>0</v>
      </c>
      <c r="E244" s="167">
        <f>'RTD Sched &amp; Prices'!I243</f>
        <v>0</v>
      </c>
      <c r="F244" s="167">
        <f t="shared" si="6"/>
        <v>0</v>
      </c>
      <c r="G244" s="12">
        <f t="shared" si="7"/>
        <v>0</v>
      </c>
    </row>
    <row r="245" spans="1:9">
      <c r="A245" s="292"/>
      <c r="B245" s="8">
        <v>0.84375</v>
      </c>
      <c r="C245" s="166">
        <f>MQ!AD245</f>
        <v>0</v>
      </c>
      <c r="D245" s="166">
        <f>(MQ!AE245)*-1</f>
        <v>0</v>
      </c>
      <c r="E245" s="167">
        <f>'RTD Sched &amp; Prices'!I244</f>
        <v>0</v>
      </c>
      <c r="F245" s="167">
        <f t="shared" si="6"/>
        <v>0</v>
      </c>
      <c r="G245" s="12">
        <f t="shared" si="7"/>
        <v>0</v>
      </c>
    </row>
    <row r="246" spans="1:9">
      <c r="A246" s="292"/>
      <c r="B246" s="8">
        <v>0.84722222222222199</v>
      </c>
      <c r="C246" s="166">
        <f>MQ!AD246</f>
        <v>0</v>
      </c>
      <c r="D246" s="166">
        <f>(MQ!AE246)*-1</f>
        <v>0</v>
      </c>
      <c r="E246" s="167">
        <f>'RTD Sched &amp; Prices'!I245</f>
        <v>0</v>
      </c>
      <c r="F246" s="167">
        <f t="shared" si="6"/>
        <v>0</v>
      </c>
      <c r="G246" s="12">
        <f t="shared" si="7"/>
        <v>0</v>
      </c>
    </row>
    <row r="247" spans="1:9">
      <c r="A247" s="292"/>
      <c r="B247" s="8">
        <v>0.85069444444444398</v>
      </c>
      <c r="C247" s="166">
        <f>MQ!AD247</f>
        <v>0</v>
      </c>
      <c r="D247" s="166">
        <f>(MQ!AE247)*-1</f>
        <v>0</v>
      </c>
      <c r="E247" s="167">
        <f>'RTD Sched &amp; Prices'!I246</f>
        <v>0</v>
      </c>
      <c r="F247" s="167">
        <f t="shared" si="6"/>
        <v>0</v>
      </c>
      <c r="G247" s="12">
        <f t="shared" si="7"/>
        <v>0</v>
      </c>
    </row>
    <row r="248" spans="1:9">
      <c r="A248" s="292"/>
      <c r="B248" s="8">
        <v>0.85416666666666596</v>
      </c>
      <c r="C248" s="166">
        <f>MQ!AD248</f>
        <v>0</v>
      </c>
      <c r="D248" s="166">
        <f>(MQ!AE248)*-1</f>
        <v>0</v>
      </c>
      <c r="E248" s="167">
        <f>'RTD Sched &amp; Prices'!I247</f>
        <v>0</v>
      </c>
      <c r="F248" s="167">
        <f t="shared" si="6"/>
        <v>0</v>
      </c>
      <c r="G248" s="12">
        <f t="shared" si="7"/>
        <v>0</v>
      </c>
    </row>
    <row r="249" spans="1:9">
      <c r="A249" s="292"/>
      <c r="B249" s="8">
        <v>0.85763888888888895</v>
      </c>
      <c r="C249" s="166">
        <f>MQ!AD249</f>
        <v>0</v>
      </c>
      <c r="D249" s="166">
        <f>(MQ!AE249)*-1</f>
        <v>0</v>
      </c>
      <c r="E249" s="167">
        <f>'RTD Sched &amp; Prices'!I248</f>
        <v>0</v>
      </c>
      <c r="F249" s="167">
        <f t="shared" si="6"/>
        <v>0</v>
      </c>
      <c r="G249" s="12">
        <f t="shared" si="7"/>
        <v>0</v>
      </c>
    </row>
    <row r="250" spans="1:9">
      <c r="A250" s="292"/>
      <c r="B250" s="8">
        <v>0.86111111111111105</v>
      </c>
      <c r="C250" s="166">
        <f>MQ!AD250</f>
        <v>0</v>
      </c>
      <c r="D250" s="166">
        <f>(MQ!AE250)*-1</f>
        <v>0</v>
      </c>
      <c r="E250" s="167">
        <f>'RTD Sched &amp; Prices'!I249</f>
        <v>0</v>
      </c>
      <c r="F250" s="167">
        <f t="shared" si="6"/>
        <v>0</v>
      </c>
      <c r="G250" s="12">
        <f t="shared" si="7"/>
        <v>0</v>
      </c>
    </row>
    <row r="251" spans="1:9">
      <c r="A251" s="292"/>
      <c r="B251" s="8">
        <v>0.86458333333333304</v>
      </c>
      <c r="C251" s="166">
        <f>MQ!AD251</f>
        <v>0</v>
      </c>
      <c r="D251" s="166">
        <f>(MQ!AE251)*-1</f>
        <v>0</v>
      </c>
      <c r="E251" s="167">
        <f>'RTD Sched &amp; Prices'!I250</f>
        <v>0</v>
      </c>
      <c r="F251" s="167">
        <f t="shared" si="6"/>
        <v>0</v>
      </c>
      <c r="G251" s="12">
        <f t="shared" si="7"/>
        <v>0</v>
      </c>
    </row>
    <row r="252" spans="1:9">
      <c r="A252" s="292"/>
      <c r="B252" s="8">
        <v>0.86805555555555503</v>
      </c>
      <c r="C252" s="166">
        <f>MQ!AD252</f>
        <v>0</v>
      </c>
      <c r="D252" s="166">
        <f>(MQ!AE252)*-1</f>
        <v>0</v>
      </c>
      <c r="E252" s="167">
        <f>'RTD Sched &amp; Prices'!I251</f>
        <v>0</v>
      </c>
      <c r="F252" s="167">
        <f t="shared" si="6"/>
        <v>0</v>
      </c>
      <c r="G252" s="12">
        <f t="shared" si="7"/>
        <v>0</v>
      </c>
    </row>
    <row r="253" spans="1:9">
      <c r="A253" s="292"/>
      <c r="B253" s="8">
        <v>0.87152777777777701</v>
      </c>
      <c r="C253" s="166">
        <f>MQ!AD253</f>
        <v>0</v>
      </c>
      <c r="D253" s="166">
        <f>(MQ!AE253)*-1</f>
        <v>0</v>
      </c>
      <c r="E253" s="167">
        <f>'RTD Sched &amp; Prices'!I252</f>
        <v>0</v>
      </c>
      <c r="F253" s="167">
        <f t="shared" si="6"/>
        <v>0</v>
      </c>
      <c r="G253" s="12">
        <f t="shared" si="7"/>
        <v>0</v>
      </c>
    </row>
    <row r="254" spans="1:9">
      <c r="A254" s="292"/>
      <c r="B254" s="8">
        <v>0.875</v>
      </c>
      <c r="C254" s="166">
        <f>MQ!AD254</f>
        <v>0</v>
      </c>
      <c r="D254" s="166">
        <f>(MQ!AE254)*-1</f>
        <v>0</v>
      </c>
      <c r="E254" s="167">
        <f>'RTD Sched &amp; Prices'!I253</f>
        <v>0</v>
      </c>
      <c r="F254" s="167">
        <f t="shared" si="6"/>
        <v>0</v>
      </c>
      <c r="G254" s="12">
        <f t="shared" si="7"/>
        <v>0</v>
      </c>
      <c r="H254" s="168">
        <f>SUM(F243:F254)</f>
        <v>0</v>
      </c>
      <c r="I254" s="168">
        <f>SUM(G243:G254)</f>
        <v>0</v>
      </c>
    </row>
    <row r="255" spans="1:9">
      <c r="A255" s="292" t="s">
        <v>23</v>
      </c>
      <c r="B255" s="8">
        <v>0.87847222222222199</v>
      </c>
      <c r="C255" s="166">
        <f>MQ!AD255</f>
        <v>0</v>
      </c>
      <c r="D255" s="166">
        <f>(MQ!AE255)*-1</f>
        <v>0</v>
      </c>
      <c r="E255" s="167">
        <f>'RTD Sched &amp; Prices'!I254</f>
        <v>0</v>
      </c>
      <c r="F255" s="167">
        <f t="shared" si="6"/>
        <v>0</v>
      </c>
      <c r="G255" s="12">
        <f t="shared" si="7"/>
        <v>0</v>
      </c>
    </row>
    <row r="256" spans="1:9">
      <c r="A256" s="292"/>
      <c r="B256" s="8">
        <v>0.88194444444444398</v>
      </c>
      <c r="C256" s="166">
        <f>MQ!AD256</f>
        <v>0</v>
      </c>
      <c r="D256" s="166">
        <f>(MQ!AE256)*-1</f>
        <v>0</v>
      </c>
      <c r="E256" s="167">
        <f>'RTD Sched &amp; Prices'!I255</f>
        <v>0</v>
      </c>
      <c r="F256" s="167">
        <f t="shared" si="6"/>
        <v>0</v>
      </c>
      <c r="G256" s="12">
        <f t="shared" si="7"/>
        <v>0</v>
      </c>
    </row>
    <row r="257" spans="1:9">
      <c r="A257" s="292"/>
      <c r="B257" s="8">
        <v>0.88541666666666596</v>
      </c>
      <c r="C257" s="166">
        <f>MQ!AD257</f>
        <v>0</v>
      </c>
      <c r="D257" s="166">
        <f>(MQ!AE257)*-1</f>
        <v>0</v>
      </c>
      <c r="E257" s="167">
        <f>'RTD Sched &amp; Prices'!I256</f>
        <v>0</v>
      </c>
      <c r="F257" s="167">
        <f t="shared" si="6"/>
        <v>0</v>
      </c>
      <c r="G257" s="12">
        <f t="shared" si="7"/>
        <v>0</v>
      </c>
    </row>
    <row r="258" spans="1:9">
      <c r="A258" s="292"/>
      <c r="B258" s="8">
        <v>0.88888888888888895</v>
      </c>
      <c r="C258" s="166">
        <f>MQ!AD258</f>
        <v>0</v>
      </c>
      <c r="D258" s="166">
        <f>(MQ!AE258)*-1</f>
        <v>0</v>
      </c>
      <c r="E258" s="167">
        <f>'RTD Sched &amp; Prices'!I257</f>
        <v>0</v>
      </c>
      <c r="F258" s="167">
        <f t="shared" si="6"/>
        <v>0</v>
      </c>
      <c r="G258" s="12">
        <f t="shared" si="7"/>
        <v>0</v>
      </c>
    </row>
    <row r="259" spans="1:9">
      <c r="A259" s="292"/>
      <c r="B259" s="8">
        <v>0.89236111111111105</v>
      </c>
      <c r="C259" s="166">
        <f>MQ!AD259</f>
        <v>0</v>
      </c>
      <c r="D259" s="166">
        <f>(MQ!AE259)*-1</f>
        <v>0</v>
      </c>
      <c r="E259" s="167">
        <f>'RTD Sched &amp; Prices'!I258</f>
        <v>0</v>
      </c>
      <c r="F259" s="167">
        <f t="shared" si="6"/>
        <v>0</v>
      </c>
      <c r="G259" s="12">
        <f t="shared" si="7"/>
        <v>0</v>
      </c>
    </row>
    <row r="260" spans="1:9">
      <c r="A260" s="292"/>
      <c r="B260" s="8">
        <v>0.89583333333333304</v>
      </c>
      <c r="C260" s="166">
        <f>MQ!AD260</f>
        <v>0</v>
      </c>
      <c r="D260" s="166">
        <f>(MQ!AE260)*-1</f>
        <v>0</v>
      </c>
      <c r="E260" s="167">
        <f>'RTD Sched &amp; Prices'!I259</f>
        <v>0</v>
      </c>
      <c r="F260" s="167">
        <f t="shared" ref="F260:F290" si="8">C260*E260</f>
        <v>0</v>
      </c>
      <c r="G260" s="12">
        <f t="shared" ref="G260:G290" si="9">D260*E260</f>
        <v>0</v>
      </c>
    </row>
    <row r="261" spans="1:9">
      <c r="A261" s="292"/>
      <c r="B261" s="8">
        <v>0.89930555555555503</v>
      </c>
      <c r="C261" s="166">
        <f>MQ!AD261</f>
        <v>0</v>
      </c>
      <c r="D261" s="166">
        <f>(MQ!AE261)*-1</f>
        <v>0</v>
      </c>
      <c r="E261" s="167">
        <f>'RTD Sched &amp; Prices'!I260</f>
        <v>0</v>
      </c>
      <c r="F261" s="167">
        <f t="shared" si="8"/>
        <v>0</v>
      </c>
      <c r="G261" s="12">
        <f t="shared" si="9"/>
        <v>0</v>
      </c>
    </row>
    <row r="262" spans="1:9">
      <c r="A262" s="292"/>
      <c r="B262" s="8">
        <v>0.90277777777777701</v>
      </c>
      <c r="C262" s="166">
        <f>MQ!AD262</f>
        <v>0</v>
      </c>
      <c r="D262" s="166">
        <f>(MQ!AE262)*-1</f>
        <v>0</v>
      </c>
      <c r="E262" s="167">
        <f>'RTD Sched &amp; Prices'!I261</f>
        <v>0</v>
      </c>
      <c r="F262" s="167">
        <f t="shared" si="8"/>
        <v>0</v>
      </c>
      <c r="G262" s="12">
        <f t="shared" si="9"/>
        <v>0</v>
      </c>
    </row>
    <row r="263" spans="1:9">
      <c r="A263" s="292"/>
      <c r="B263" s="8">
        <v>0.90625</v>
      </c>
      <c r="C263" s="166">
        <f>MQ!AD263</f>
        <v>0</v>
      </c>
      <c r="D263" s="166">
        <f>(MQ!AE263)*-1</f>
        <v>0</v>
      </c>
      <c r="E263" s="167">
        <f>'RTD Sched &amp; Prices'!I262</f>
        <v>0</v>
      </c>
      <c r="F263" s="167">
        <f t="shared" si="8"/>
        <v>0</v>
      </c>
      <c r="G263" s="12">
        <f t="shared" si="9"/>
        <v>0</v>
      </c>
    </row>
    <row r="264" spans="1:9">
      <c r="A264" s="292"/>
      <c r="B264" s="8">
        <v>0.90972222222222199</v>
      </c>
      <c r="C264" s="166">
        <f>MQ!AD264</f>
        <v>0</v>
      </c>
      <c r="D264" s="166">
        <f>(MQ!AE264)*-1</f>
        <v>0</v>
      </c>
      <c r="E264" s="167">
        <f>'RTD Sched &amp; Prices'!I263</f>
        <v>0</v>
      </c>
      <c r="F264" s="167">
        <f t="shared" si="8"/>
        <v>0</v>
      </c>
      <c r="G264" s="12">
        <f t="shared" si="9"/>
        <v>0</v>
      </c>
    </row>
    <row r="265" spans="1:9">
      <c r="A265" s="292"/>
      <c r="B265" s="8">
        <v>0.91319444444444398</v>
      </c>
      <c r="C265" s="166">
        <f>MQ!AD265</f>
        <v>0</v>
      </c>
      <c r="D265" s="166">
        <f>(MQ!AE265)*-1</f>
        <v>0</v>
      </c>
      <c r="E265" s="167">
        <f>'RTD Sched &amp; Prices'!I264</f>
        <v>0</v>
      </c>
      <c r="F265" s="167">
        <f t="shared" si="8"/>
        <v>0</v>
      </c>
      <c r="G265" s="12">
        <f t="shared" si="9"/>
        <v>0</v>
      </c>
    </row>
    <row r="266" spans="1:9">
      <c r="A266" s="292"/>
      <c r="B266" s="8">
        <v>0.91666666666666596</v>
      </c>
      <c r="C266" s="166">
        <f>MQ!AD266</f>
        <v>0</v>
      </c>
      <c r="D266" s="166">
        <f>(MQ!AE266)*-1</f>
        <v>0</v>
      </c>
      <c r="E266" s="167">
        <f>'RTD Sched &amp; Prices'!I265</f>
        <v>0</v>
      </c>
      <c r="F266" s="167">
        <f t="shared" si="8"/>
        <v>0</v>
      </c>
      <c r="G266" s="12">
        <f t="shared" si="9"/>
        <v>0</v>
      </c>
      <c r="H266" s="168">
        <f>SUM(F255:F266)</f>
        <v>0</v>
      </c>
      <c r="I266" s="168">
        <f>SUM(G255:G266)</f>
        <v>0</v>
      </c>
    </row>
    <row r="267" spans="1:9">
      <c r="A267" s="292" t="s">
        <v>24</v>
      </c>
      <c r="B267" s="8">
        <v>0.92013888888888895</v>
      </c>
      <c r="C267" s="166">
        <f>MQ!AD267</f>
        <v>0</v>
      </c>
      <c r="D267" s="166">
        <f>(MQ!AE267)*-1</f>
        <v>0</v>
      </c>
      <c r="E267" s="167">
        <f>'RTD Sched &amp; Prices'!I266</f>
        <v>0</v>
      </c>
      <c r="F267" s="167">
        <f t="shared" si="8"/>
        <v>0</v>
      </c>
      <c r="G267" s="12">
        <f t="shared" si="9"/>
        <v>0</v>
      </c>
    </row>
    <row r="268" spans="1:9">
      <c r="A268" s="292"/>
      <c r="B268" s="8">
        <v>0.92361111111111105</v>
      </c>
      <c r="C268" s="166">
        <f>MQ!AD268</f>
        <v>0</v>
      </c>
      <c r="D268" s="166">
        <f>(MQ!AE268)*-1</f>
        <v>0</v>
      </c>
      <c r="E268" s="167">
        <f>'RTD Sched &amp; Prices'!I267</f>
        <v>0</v>
      </c>
      <c r="F268" s="167">
        <f t="shared" si="8"/>
        <v>0</v>
      </c>
      <c r="G268" s="12">
        <f t="shared" si="9"/>
        <v>0</v>
      </c>
    </row>
    <row r="269" spans="1:9">
      <c r="A269" s="292"/>
      <c r="B269" s="8">
        <v>0.92708333333333304</v>
      </c>
      <c r="C269" s="166">
        <f>MQ!AD269</f>
        <v>0</v>
      </c>
      <c r="D269" s="166">
        <f>(MQ!AE269)*-1</f>
        <v>0</v>
      </c>
      <c r="E269" s="167">
        <f>'RTD Sched &amp; Prices'!I268</f>
        <v>0</v>
      </c>
      <c r="F269" s="167">
        <f t="shared" si="8"/>
        <v>0</v>
      </c>
      <c r="G269" s="12">
        <f t="shared" si="9"/>
        <v>0</v>
      </c>
    </row>
    <row r="270" spans="1:9">
      <c r="A270" s="292"/>
      <c r="B270" s="8">
        <v>0.93055555555555503</v>
      </c>
      <c r="C270" s="166">
        <f>MQ!AD270</f>
        <v>0</v>
      </c>
      <c r="D270" s="166">
        <f>(MQ!AE270)*-1</f>
        <v>0</v>
      </c>
      <c r="E270" s="167">
        <f>'RTD Sched &amp; Prices'!I269</f>
        <v>0</v>
      </c>
      <c r="F270" s="167">
        <f t="shared" si="8"/>
        <v>0</v>
      </c>
      <c r="G270" s="12">
        <f t="shared" si="9"/>
        <v>0</v>
      </c>
    </row>
    <row r="271" spans="1:9">
      <c r="A271" s="292"/>
      <c r="B271" s="8">
        <v>0.93402777777777701</v>
      </c>
      <c r="C271" s="166">
        <f>MQ!AD271</f>
        <v>0</v>
      </c>
      <c r="D271" s="166">
        <f>(MQ!AE271)*-1</f>
        <v>0</v>
      </c>
      <c r="E271" s="167">
        <f>'RTD Sched &amp; Prices'!I270</f>
        <v>0</v>
      </c>
      <c r="F271" s="167">
        <f t="shared" si="8"/>
        <v>0</v>
      </c>
      <c r="G271" s="12">
        <f t="shared" si="9"/>
        <v>0</v>
      </c>
    </row>
    <row r="272" spans="1:9">
      <c r="A272" s="292"/>
      <c r="B272" s="8">
        <v>0.9375</v>
      </c>
      <c r="C272" s="166">
        <f>MQ!AD272</f>
        <v>0</v>
      </c>
      <c r="D272" s="166">
        <f>(MQ!AE272)*-1</f>
        <v>0</v>
      </c>
      <c r="E272" s="167">
        <f>'RTD Sched &amp; Prices'!I271</f>
        <v>0</v>
      </c>
      <c r="F272" s="167">
        <f t="shared" si="8"/>
        <v>0</v>
      </c>
      <c r="G272" s="12">
        <f t="shared" si="9"/>
        <v>0</v>
      </c>
    </row>
    <row r="273" spans="1:9">
      <c r="A273" s="292"/>
      <c r="B273" s="8">
        <v>0.94097222222222199</v>
      </c>
      <c r="C273" s="166">
        <f>MQ!AD273</f>
        <v>0</v>
      </c>
      <c r="D273" s="166">
        <f>(MQ!AE273)*-1</f>
        <v>0</v>
      </c>
      <c r="E273" s="167">
        <f>'RTD Sched &amp; Prices'!I272</f>
        <v>0</v>
      </c>
      <c r="F273" s="167">
        <f t="shared" si="8"/>
        <v>0</v>
      </c>
      <c r="G273" s="12">
        <f t="shared" si="9"/>
        <v>0</v>
      </c>
    </row>
    <row r="274" spans="1:9">
      <c r="A274" s="292"/>
      <c r="B274" s="8">
        <v>0.94444444444444398</v>
      </c>
      <c r="C274" s="166">
        <f>MQ!AD274</f>
        <v>0</v>
      </c>
      <c r="D274" s="166">
        <f>(MQ!AE274)*-1</f>
        <v>0</v>
      </c>
      <c r="E274" s="167">
        <f>'RTD Sched &amp; Prices'!I273</f>
        <v>0</v>
      </c>
      <c r="F274" s="167">
        <f t="shared" si="8"/>
        <v>0</v>
      </c>
      <c r="G274" s="12">
        <f t="shared" si="9"/>
        <v>0</v>
      </c>
    </row>
    <row r="275" spans="1:9">
      <c r="A275" s="292"/>
      <c r="B275" s="8">
        <v>0.94791666666666596</v>
      </c>
      <c r="C275" s="166">
        <f>MQ!AD275</f>
        <v>0</v>
      </c>
      <c r="D275" s="166">
        <f>(MQ!AE275)*-1</f>
        <v>0</v>
      </c>
      <c r="E275" s="167">
        <f>'RTD Sched &amp; Prices'!I274</f>
        <v>0</v>
      </c>
      <c r="F275" s="167">
        <f t="shared" si="8"/>
        <v>0</v>
      </c>
      <c r="G275" s="12">
        <f t="shared" si="9"/>
        <v>0</v>
      </c>
    </row>
    <row r="276" spans="1:9">
      <c r="A276" s="292"/>
      <c r="B276" s="8">
        <v>0.95138888888888895</v>
      </c>
      <c r="C276" s="166">
        <f>MQ!AD276</f>
        <v>0</v>
      </c>
      <c r="D276" s="166">
        <f>(MQ!AE276)*-1</f>
        <v>0</v>
      </c>
      <c r="E276" s="167">
        <f>'RTD Sched &amp; Prices'!I275</f>
        <v>0</v>
      </c>
      <c r="F276" s="167">
        <f t="shared" si="8"/>
        <v>0</v>
      </c>
      <c r="G276" s="12">
        <f t="shared" si="9"/>
        <v>0</v>
      </c>
    </row>
    <row r="277" spans="1:9">
      <c r="A277" s="292"/>
      <c r="B277" s="8">
        <v>0.95486111111111105</v>
      </c>
      <c r="C277" s="166">
        <f>MQ!AD277</f>
        <v>0</v>
      </c>
      <c r="D277" s="166">
        <f>(MQ!AE277)*-1</f>
        <v>0</v>
      </c>
      <c r="E277" s="167">
        <f>'RTD Sched &amp; Prices'!I276</f>
        <v>0</v>
      </c>
      <c r="F277" s="167">
        <f t="shared" si="8"/>
        <v>0</v>
      </c>
      <c r="G277" s="12">
        <f t="shared" si="9"/>
        <v>0</v>
      </c>
    </row>
    <row r="278" spans="1:9">
      <c r="A278" s="292"/>
      <c r="B278" s="8">
        <v>0.95833333333333304</v>
      </c>
      <c r="C278" s="166">
        <f>MQ!AD278</f>
        <v>0</v>
      </c>
      <c r="D278" s="166">
        <f>(MQ!AE278)*-1</f>
        <v>0</v>
      </c>
      <c r="E278" s="167">
        <f>'RTD Sched &amp; Prices'!I277</f>
        <v>0</v>
      </c>
      <c r="F278" s="167">
        <f t="shared" si="8"/>
        <v>0</v>
      </c>
      <c r="G278" s="12">
        <f t="shared" si="9"/>
        <v>0</v>
      </c>
      <c r="H278" s="168">
        <f>SUM(F267:F278)</f>
        <v>0</v>
      </c>
      <c r="I278" s="168">
        <f>SUM(G267:G278)</f>
        <v>0</v>
      </c>
    </row>
    <row r="279" spans="1:9">
      <c r="A279" s="292" t="s">
        <v>25</v>
      </c>
      <c r="B279" s="8">
        <v>0.96180555555555503</v>
      </c>
      <c r="C279" s="166">
        <f>MQ!AD279</f>
        <v>0</v>
      </c>
      <c r="D279" s="166">
        <f>(MQ!AE279)*-1</f>
        <v>0</v>
      </c>
      <c r="E279" s="167">
        <f>'RTD Sched &amp; Prices'!I278</f>
        <v>0</v>
      </c>
      <c r="F279" s="167">
        <f t="shared" si="8"/>
        <v>0</v>
      </c>
      <c r="G279" s="12">
        <f t="shared" si="9"/>
        <v>0</v>
      </c>
    </row>
    <row r="280" spans="1:9">
      <c r="A280" s="292"/>
      <c r="B280" s="8">
        <v>0.96527777777777701</v>
      </c>
      <c r="C280" s="166">
        <f>MQ!AD280</f>
        <v>0</v>
      </c>
      <c r="D280" s="166">
        <f>(MQ!AE280)*-1</f>
        <v>0</v>
      </c>
      <c r="E280" s="167">
        <f>'RTD Sched &amp; Prices'!I279</f>
        <v>0</v>
      </c>
      <c r="F280" s="167">
        <f t="shared" si="8"/>
        <v>0</v>
      </c>
      <c r="G280" s="12">
        <f t="shared" si="9"/>
        <v>0</v>
      </c>
    </row>
    <row r="281" spans="1:9">
      <c r="A281" s="292"/>
      <c r="B281" s="8">
        <v>0.96875</v>
      </c>
      <c r="C281" s="166">
        <f>MQ!AD281</f>
        <v>0</v>
      </c>
      <c r="D281" s="166">
        <f>(MQ!AE281)*-1</f>
        <v>0</v>
      </c>
      <c r="E281" s="167">
        <f>'RTD Sched &amp; Prices'!I280</f>
        <v>0</v>
      </c>
      <c r="F281" s="167">
        <f t="shared" si="8"/>
        <v>0</v>
      </c>
      <c r="G281" s="12">
        <f t="shared" si="9"/>
        <v>0</v>
      </c>
    </row>
    <row r="282" spans="1:9">
      <c r="A282" s="292"/>
      <c r="B282" s="8">
        <v>0.97222222222222199</v>
      </c>
      <c r="C282" s="166">
        <f>MQ!AD282</f>
        <v>0</v>
      </c>
      <c r="D282" s="166">
        <f>(MQ!AE282)*-1</f>
        <v>0</v>
      </c>
      <c r="E282" s="167">
        <f>'RTD Sched &amp; Prices'!I281</f>
        <v>0</v>
      </c>
      <c r="F282" s="167">
        <f t="shared" si="8"/>
        <v>0</v>
      </c>
      <c r="G282" s="12">
        <f t="shared" si="9"/>
        <v>0</v>
      </c>
    </row>
    <row r="283" spans="1:9">
      <c r="A283" s="292"/>
      <c r="B283" s="8">
        <v>0.97569444444444398</v>
      </c>
      <c r="C283" s="17">
        <f>MQ!AD283</f>
        <v>0</v>
      </c>
      <c r="D283" s="17">
        <f>(MQ!AE283)*-1</f>
        <v>0</v>
      </c>
      <c r="E283" s="39">
        <f>'RTD Sched &amp; Prices'!I282</f>
        <v>0</v>
      </c>
      <c r="F283" s="39">
        <f t="shared" si="8"/>
        <v>0</v>
      </c>
      <c r="G283" s="12">
        <f t="shared" si="9"/>
        <v>0</v>
      </c>
    </row>
    <row r="284" spans="1:9">
      <c r="A284" s="292"/>
      <c r="B284" s="8">
        <v>0.97916666666666596</v>
      </c>
      <c r="C284" s="17">
        <f>MQ!AD284</f>
        <v>0</v>
      </c>
      <c r="D284" s="17">
        <f>(MQ!AE284)*-1</f>
        <v>0</v>
      </c>
      <c r="E284" s="39">
        <f>'RTD Sched &amp; Prices'!I283</f>
        <v>0</v>
      </c>
      <c r="F284" s="39">
        <f t="shared" si="8"/>
        <v>0</v>
      </c>
      <c r="G284" s="12">
        <f t="shared" si="9"/>
        <v>0</v>
      </c>
    </row>
    <row r="285" spans="1:9">
      <c r="A285" s="292"/>
      <c r="B285" s="8">
        <v>0.98263888888888895</v>
      </c>
      <c r="C285" s="17">
        <f>MQ!AD285</f>
        <v>0</v>
      </c>
      <c r="D285" s="17">
        <f>(MQ!AE285)*-1</f>
        <v>0</v>
      </c>
      <c r="E285" s="39">
        <f>'RTD Sched &amp; Prices'!I284</f>
        <v>0</v>
      </c>
      <c r="F285" s="39">
        <f t="shared" si="8"/>
        <v>0</v>
      </c>
      <c r="G285" s="12">
        <f t="shared" si="9"/>
        <v>0</v>
      </c>
    </row>
    <row r="286" spans="1:9">
      <c r="A286" s="292"/>
      <c r="B286" s="8">
        <v>0.98611111111111105</v>
      </c>
      <c r="C286" s="17">
        <f>MQ!AD286</f>
        <v>0</v>
      </c>
      <c r="D286" s="17">
        <f>(MQ!AE286)*-1</f>
        <v>0</v>
      </c>
      <c r="E286" s="39">
        <f>'RTD Sched &amp; Prices'!I285</f>
        <v>0</v>
      </c>
      <c r="F286" s="39">
        <f t="shared" si="8"/>
        <v>0</v>
      </c>
      <c r="G286" s="12">
        <f t="shared" si="9"/>
        <v>0</v>
      </c>
    </row>
    <row r="287" spans="1:9">
      <c r="A287" s="292"/>
      <c r="B287" s="8">
        <v>0.98958333333333304</v>
      </c>
      <c r="C287" s="17">
        <f>MQ!AD287</f>
        <v>0</v>
      </c>
      <c r="D287" s="17">
        <f>(MQ!AE287)*-1</f>
        <v>0</v>
      </c>
      <c r="E287" s="39">
        <f>'RTD Sched &amp; Prices'!I286</f>
        <v>0</v>
      </c>
      <c r="F287" s="39">
        <f t="shared" si="8"/>
        <v>0</v>
      </c>
      <c r="G287" s="12">
        <f t="shared" si="9"/>
        <v>0</v>
      </c>
    </row>
    <row r="288" spans="1:9">
      <c r="A288" s="292"/>
      <c r="B288" s="8">
        <v>0.99305555555555503</v>
      </c>
      <c r="C288" s="17">
        <f>MQ!AD288</f>
        <v>0</v>
      </c>
      <c r="D288" s="17">
        <f>(MQ!AE288)*-1</f>
        <v>0</v>
      </c>
      <c r="E288" s="39">
        <f>'RTD Sched &amp; Prices'!I287</f>
        <v>0</v>
      </c>
      <c r="F288" s="39">
        <f t="shared" si="8"/>
        <v>0</v>
      </c>
      <c r="G288" s="12">
        <f t="shared" si="9"/>
        <v>0</v>
      </c>
    </row>
    <row r="289" spans="1:9">
      <c r="A289" s="292"/>
      <c r="B289" s="8">
        <v>0.99652777777777701</v>
      </c>
      <c r="C289" s="17">
        <f>MQ!AD289</f>
        <v>0</v>
      </c>
      <c r="D289" s="17">
        <f>(MQ!AE289)*-1</f>
        <v>0</v>
      </c>
      <c r="E289" s="39">
        <f>'RTD Sched &amp; Prices'!I288</f>
        <v>0</v>
      </c>
      <c r="F289" s="39">
        <f t="shared" si="8"/>
        <v>0</v>
      </c>
      <c r="G289" s="12">
        <f t="shared" si="9"/>
        <v>0</v>
      </c>
    </row>
    <row r="290" spans="1:9">
      <c r="A290" s="292"/>
      <c r="B290" s="8">
        <v>1</v>
      </c>
      <c r="C290" s="166">
        <f>MQ!AD290</f>
        <v>0</v>
      </c>
      <c r="D290" s="166">
        <f>(MQ!AE290)*-1</f>
        <v>0</v>
      </c>
      <c r="E290" s="167">
        <f>'RTD Sched &amp; Prices'!I289</f>
        <v>0</v>
      </c>
      <c r="F290" s="167">
        <f t="shared" si="8"/>
        <v>0</v>
      </c>
      <c r="G290" s="12">
        <f t="shared" si="9"/>
        <v>0</v>
      </c>
      <c r="H290" s="168">
        <f>SUM(F279:F290)</f>
        <v>0</v>
      </c>
      <c r="I290" s="168">
        <f>SUM(G279:G290)</f>
        <v>0</v>
      </c>
    </row>
    <row r="291" spans="1:9" s="44" customFormat="1">
      <c r="A291" s="291" t="s">
        <v>435</v>
      </c>
      <c r="B291" s="291"/>
      <c r="C291" s="55">
        <f>SUM(C3:C290)</f>
        <v>0</v>
      </c>
      <c r="D291" s="55">
        <f>SUM(D3:D290)</f>
        <v>0</v>
      </c>
      <c r="E291" s="51"/>
      <c r="F291" s="58">
        <f>SUM(F3:F290)</f>
        <v>0</v>
      </c>
      <c r="G291" s="60">
        <f>SUM(G3:G290)</f>
        <v>0</v>
      </c>
    </row>
    <row r="292" spans="1:9" s="44" customFormat="1">
      <c r="A292" s="291" t="s">
        <v>436</v>
      </c>
      <c r="B292" s="291"/>
      <c r="C292" s="51"/>
      <c r="D292" s="51"/>
      <c r="E292" s="59">
        <f>AVERAGE(E3:E290)</f>
        <v>0</v>
      </c>
      <c r="F292" s="52"/>
      <c r="G292" s="53"/>
    </row>
    <row r="293" spans="1:9" s="44" customFormat="1">
      <c r="A293" s="46"/>
      <c r="B293" s="47"/>
      <c r="C293" s="48"/>
      <c r="D293" s="48"/>
      <c r="E293" s="45"/>
      <c r="F293" s="45"/>
      <c r="G293" s="43"/>
    </row>
    <row r="294" spans="1:9" s="44" customFormat="1">
      <c r="A294" s="46"/>
      <c r="B294" s="47"/>
      <c r="C294" s="48"/>
      <c r="D294" s="48"/>
      <c r="E294" s="49"/>
      <c r="F294" s="49"/>
      <c r="G294" s="50"/>
    </row>
    <row r="295" spans="1:9" s="44" customFormat="1">
      <c r="A295" s="46"/>
      <c r="B295" s="47"/>
      <c r="C295" s="48"/>
      <c r="D295" s="48"/>
      <c r="E295" s="49"/>
      <c r="F295" s="49"/>
      <c r="G295" s="50"/>
    </row>
    <row r="296" spans="1:9" s="44" customFormat="1">
      <c r="A296" s="46"/>
      <c r="B296" s="47"/>
      <c r="C296" s="48"/>
      <c r="D296" s="48"/>
      <c r="E296" s="49"/>
      <c r="F296" s="49"/>
      <c r="G296" s="50"/>
    </row>
  </sheetData>
  <mergeCells count="31">
    <mergeCell ref="F1:G1"/>
    <mergeCell ref="A1:A2"/>
    <mergeCell ref="B1:B2"/>
    <mergeCell ref="E1:E2"/>
    <mergeCell ref="C1:D1"/>
    <mergeCell ref="A123:A134"/>
    <mergeCell ref="A159:A170"/>
    <mergeCell ref="A171:A182"/>
    <mergeCell ref="A183:A194"/>
    <mergeCell ref="A195:A206"/>
    <mergeCell ref="A63:A74"/>
    <mergeCell ref="A75:A86"/>
    <mergeCell ref="A87:A98"/>
    <mergeCell ref="A99:A110"/>
    <mergeCell ref="A111:A122"/>
    <mergeCell ref="A3:A14"/>
    <mergeCell ref="A15:A26"/>
    <mergeCell ref="A27:A38"/>
    <mergeCell ref="A39:A50"/>
    <mergeCell ref="A51:A62"/>
    <mergeCell ref="A291:B291"/>
    <mergeCell ref="A292:B292"/>
    <mergeCell ref="A279:A290"/>
    <mergeCell ref="A147:A158"/>
    <mergeCell ref="A135:A146"/>
    <mergeCell ref="A207:A218"/>
    <mergeCell ref="A219:A230"/>
    <mergeCell ref="A231:A242"/>
    <mergeCell ref="A243:A254"/>
    <mergeCell ref="A255:A266"/>
    <mergeCell ref="A267:A278"/>
  </mergeCells>
  <phoneticPr fontId="9" type="noConversion"/>
  <conditionalFormatting sqref="C3:D290">
    <cfRule type="cellIs" dxfId="2" priority="3" operator="lessThan">
      <formula>0</formula>
    </cfRule>
  </conditionalFormatting>
  <conditionalFormatting sqref="D291">
    <cfRule type="cellIs" dxfId="1" priority="2" operator="lessThan">
      <formula>0</formula>
    </cfRule>
  </conditionalFormatting>
  <conditionalFormatting sqref="G291">
    <cfRule type="cellIs" dxfId="0" priority="1" operator="lessThan">
      <formula>0</formula>
    </cfRule>
  </conditionalFormatting>
  <pageMargins left="0.7" right="0.7" top="0.75" bottom="0.75" header="0.3" footer="0.3"/>
  <pageSetup paperSize="9" scale="81" orientation="portrait" horizontalDpi="0" verticalDpi="0" r:id="rId1"/>
  <rowBreaks count="4" manualBreakCount="4">
    <brk id="62" max="16383" man="1"/>
    <brk id="122" max="16383" man="1"/>
    <brk id="182" max="16383" man="1"/>
    <brk id="242" max="16383" man="1"/>
  </row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DD59A-59D7-4356-8FC9-D19BEC32EEB3}">
  <sheetPr codeName="Sheet7"/>
  <dimension ref="A1:P289"/>
  <sheetViews>
    <sheetView workbookViewId="0">
      <selection activeCell="O1" sqref="O1:P1"/>
    </sheetView>
  </sheetViews>
  <sheetFormatPr defaultColWidth="8.85546875" defaultRowHeight="15.75"/>
  <cols>
    <col min="1" max="1" width="15.140625" style="9" customWidth="1"/>
    <col min="2" max="2" width="14.7109375" style="2" customWidth="1"/>
    <col min="3" max="5" width="15.28515625" style="18" customWidth="1"/>
    <col min="6" max="7" width="14.7109375" style="3" customWidth="1"/>
    <col min="8" max="8" width="14.5703125" style="3" customWidth="1"/>
    <col min="9" max="9" width="14.7109375" style="4" customWidth="1"/>
    <col min="10" max="10" width="8.85546875" style="3"/>
    <col min="11" max="11" width="25.42578125" style="3" customWidth="1"/>
    <col min="12" max="13" width="8.85546875" style="3"/>
    <col min="14" max="14" width="8.85546875" style="123"/>
    <col min="15" max="16" width="16.140625" style="3" customWidth="1"/>
    <col min="17" max="16384" width="8.85546875" style="3"/>
  </cols>
  <sheetData>
    <row r="1" spans="1:16" s="7" customFormat="1" ht="47.25">
      <c r="A1" s="10" t="s">
        <v>0</v>
      </c>
      <c r="B1" s="11" t="s">
        <v>1</v>
      </c>
      <c r="C1" s="16" t="s">
        <v>26</v>
      </c>
      <c r="D1" s="16" t="s">
        <v>27</v>
      </c>
      <c r="E1" s="16" t="s">
        <v>105</v>
      </c>
      <c r="F1" s="10" t="s">
        <v>451</v>
      </c>
      <c r="G1" s="10" t="s">
        <v>439</v>
      </c>
      <c r="H1" s="10" t="s">
        <v>120</v>
      </c>
      <c r="I1" s="10" t="s">
        <v>452</v>
      </c>
      <c r="N1" s="122"/>
      <c r="O1" s="103" t="s">
        <v>140</v>
      </c>
      <c r="P1" s="103" t="s">
        <v>455</v>
      </c>
    </row>
    <row r="2" spans="1:16">
      <c r="A2" s="293" t="s">
        <v>2</v>
      </c>
      <c r="B2" s="8">
        <v>3.472222222222222E-3</v>
      </c>
      <c r="C2" s="17">
        <f>'Trading Report'!C3</f>
        <v>0</v>
      </c>
      <c r="D2" s="17">
        <f>'Trading Report'!D3</f>
        <v>0</v>
      </c>
      <c r="E2" s="17">
        <f>MQ!AD3</f>
        <v>0</v>
      </c>
      <c r="F2" s="64">
        <v>0</v>
      </c>
      <c r="G2" s="63">
        <f>(1/12)*((F2+C2)/2)</f>
        <v>0</v>
      </c>
      <c r="H2" s="63">
        <f>MAX($E$2:$E$289)</f>
        <v>0</v>
      </c>
      <c r="I2" s="14" t="e">
        <f>ABS((G2-E2)/H2)</f>
        <v>#DIV/0!</v>
      </c>
      <c r="K2" s="7"/>
      <c r="L2" s="7"/>
      <c r="N2" s="124" t="s">
        <v>470</v>
      </c>
      <c r="O2" s="105">
        <v>3.472222222222222E-3</v>
      </c>
      <c r="P2" s="104">
        <v>0</v>
      </c>
    </row>
    <row r="3" spans="1:16">
      <c r="A3" s="293"/>
      <c r="B3" s="8">
        <v>6.9444444444444441E-3</v>
      </c>
      <c r="C3" s="17">
        <f>'Trading Report'!C4</f>
        <v>0</v>
      </c>
      <c r="D3" s="17">
        <f>'Trading Report'!D4</f>
        <v>0</v>
      </c>
      <c r="E3" s="17">
        <f>MQ!AD4</f>
        <v>0</v>
      </c>
      <c r="F3" s="63">
        <f>C2</f>
        <v>0</v>
      </c>
      <c r="G3" s="63">
        <f t="shared" ref="G3:G66" si="0">(1/12)*((F3+C3)/2)</f>
        <v>0</v>
      </c>
      <c r="H3" s="63">
        <f t="shared" ref="H3:H66" si="1">MAX($E$2:$E$289)</f>
        <v>0</v>
      </c>
      <c r="I3" s="14" t="e">
        <f t="shared" ref="I3:I66" si="2">ABS((G3-E3)/H3)</f>
        <v>#DIV/0!</v>
      </c>
      <c r="K3" s="7"/>
      <c r="L3" s="7"/>
      <c r="N3" s="124" t="s">
        <v>471</v>
      </c>
      <c r="O3" s="105">
        <v>6.9444444444444441E-3</v>
      </c>
      <c r="P3" s="104">
        <v>0</v>
      </c>
    </row>
    <row r="4" spans="1:16">
      <c r="A4" s="293"/>
      <c r="B4" s="8">
        <v>1.0416666666666666E-2</v>
      </c>
      <c r="C4" s="17">
        <f>'Trading Report'!C5</f>
        <v>0</v>
      </c>
      <c r="D4" s="17">
        <f>'Trading Report'!D5</f>
        <v>0</v>
      </c>
      <c r="E4" s="17">
        <f>MQ!AD5</f>
        <v>0</v>
      </c>
      <c r="F4" s="63">
        <f t="shared" ref="F4:F67" si="3">C3</f>
        <v>0</v>
      </c>
      <c r="G4" s="63">
        <f t="shared" si="0"/>
        <v>0</v>
      </c>
      <c r="H4" s="63">
        <f t="shared" si="1"/>
        <v>0</v>
      </c>
      <c r="I4" s="14" t="e">
        <f>ABS((G4-E4)/H4)</f>
        <v>#DIV/0!</v>
      </c>
      <c r="K4" s="7"/>
      <c r="L4" s="7"/>
      <c r="N4" s="124" t="s">
        <v>472</v>
      </c>
      <c r="O4" s="105">
        <v>1.0416666666666666E-2</v>
      </c>
      <c r="P4" s="104">
        <v>0</v>
      </c>
    </row>
    <row r="5" spans="1:16">
      <c r="A5" s="293"/>
      <c r="B5" s="8">
        <v>1.3888888888888888E-2</v>
      </c>
      <c r="C5" s="17">
        <f>'Trading Report'!C6</f>
        <v>0</v>
      </c>
      <c r="D5" s="17">
        <f>'Trading Report'!D6</f>
        <v>0</v>
      </c>
      <c r="E5" s="17">
        <f>MQ!AD6</f>
        <v>0</v>
      </c>
      <c r="F5" s="63">
        <f t="shared" si="3"/>
        <v>0</v>
      </c>
      <c r="G5" s="63">
        <f t="shared" si="0"/>
        <v>0</v>
      </c>
      <c r="H5" s="63">
        <f t="shared" si="1"/>
        <v>0</v>
      </c>
      <c r="I5" s="14" t="e">
        <f t="shared" si="2"/>
        <v>#DIV/0!</v>
      </c>
      <c r="K5" s="7"/>
      <c r="L5" s="7"/>
      <c r="N5" s="124" t="s">
        <v>473</v>
      </c>
      <c r="O5" s="105">
        <v>1.3888888888888888E-2</v>
      </c>
      <c r="P5" s="104">
        <v>0</v>
      </c>
    </row>
    <row r="6" spans="1:16">
      <c r="A6" s="293"/>
      <c r="B6" s="8">
        <v>1.7361111111111112E-2</v>
      </c>
      <c r="C6" s="17">
        <f>'Trading Report'!C7</f>
        <v>0</v>
      </c>
      <c r="D6" s="17">
        <f>'Trading Report'!D7</f>
        <v>0</v>
      </c>
      <c r="E6" s="17">
        <f>MQ!AD7</f>
        <v>0</v>
      </c>
      <c r="F6" s="63">
        <f t="shared" si="3"/>
        <v>0</v>
      </c>
      <c r="G6" s="63">
        <f t="shared" si="0"/>
        <v>0</v>
      </c>
      <c r="H6" s="63">
        <f t="shared" si="1"/>
        <v>0</v>
      </c>
      <c r="I6" s="14" t="e">
        <f t="shared" si="2"/>
        <v>#DIV/0!</v>
      </c>
      <c r="K6" s="125" t="s">
        <v>758</v>
      </c>
      <c r="L6" s="126" t="e">
        <f>(SUM(I2:I289))/L9</f>
        <v>#DIV/0!</v>
      </c>
      <c r="N6" s="124" t="s">
        <v>474</v>
      </c>
      <c r="O6" s="105">
        <v>1.7361111111111112E-2</v>
      </c>
      <c r="P6" s="104">
        <v>0</v>
      </c>
    </row>
    <row r="7" spans="1:16">
      <c r="A7" s="293"/>
      <c r="B7" s="8">
        <v>2.0833333333333332E-2</v>
      </c>
      <c r="C7" s="17">
        <f>'Trading Report'!C8</f>
        <v>0</v>
      </c>
      <c r="D7" s="17">
        <f>'Trading Report'!D8</f>
        <v>0</v>
      </c>
      <c r="E7" s="17">
        <f>MQ!AD8</f>
        <v>0</v>
      </c>
      <c r="F7" s="63">
        <f t="shared" si="3"/>
        <v>0</v>
      </c>
      <c r="G7" s="63">
        <f t="shared" si="0"/>
        <v>0</v>
      </c>
      <c r="H7" s="63">
        <f t="shared" si="1"/>
        <v>0</v>
      </c>
      <c r="I7" s="14" t="e">
        <f t="shared" si="2"/>
        <v>#DIV/0!</v>
      </c>
      <c r="K7" s="127" t="s">
        <v>759</v>
      </c>
      <c r="L7" s="209">
        <f>L28</f>
        <v>0.26528395610913402</v>
      </c>
      <c r="N7" s="124" t="s">
        <v>475</v>
      </c>
      <c r="O7" s="105">
        <v>2.0833333333333332E-2</v>
      </c>
      <c r="P7" s="104">
        <v>0</v>
      </c>
    </row>
    <row r="8" spans="1:16">
      <c r="A8" s="293"/>
      <c r="B8" s="8">
        <v>2.4305555555555556E-2</v>
      </c>
      <c r="C8" s="17">
        <f>'Trading Report'!C9</f>
        <v>0</v>
      </c>
      <c r="D8" s="17">
        <f>'Trading Report'!D9</f>
        <v>0</v>
      </c>
      <c r="E8" s="17">
        <f>MQ!AD9</f>
        <v>0</v>
      </c>
      <c r="F8" s="63">
        <f t="shared" si="3"/>
        <v>0</v>
      </c>
      <c r="G8" s="63">
        <f t="shared" si="0"/>
        <v>0</v>
      </c>
      <c r="H8" s="63">
        <f t="shared" si="1"/>
        <v>0</v>
      </c>
      <c r="I8" s="14" t="e">
        <f t="shared" si="2"/>
        <v>#DIV/0!</v>
      </c>
      <c r="M8" s="102"/>
      <c r="N8" s="124" t="s">
        <v>476</v>
      </c>
      <c r="O8" s="105">
        <v>2.4305555555555556E-2</v>
      </c>
      <c r="P8" s="104">
        <v>0</v>
      </c>
    </row>
    <row r="9" spans="1:16">
      <c r="A9" s="293"/>
      <c r="B9" s="8">
        <v>2.7777777777777776E-2</v>
      </c>
      <c r="C9" s="17">
        <f>'Trading Report'!C10</f>
        <v>0</v>
      </c>
      <c r="D9" s="17">
        <f>'Trading Report'!D10</f>
        <v>0</v>
      </c>
      <c r="E9" s="17">
        <f>MQ!AD10</f>
        <v>0</v>
      </c>
      <c r="F9" s="63">
        <f t="shared" si="3"/>
        <v>0</v>
      </c>
      <c r="G9" s="63">
        <f t="shared" si="0"/>
        <v>0</v>
      </c>
      <c r="H9" s="63">
        <f t="shared" si="1"/>
        <v>0</v>
      </c>
      <c r="I9" s="14" t="e">
        <f t="shared" si="2"/>
        <v>#DIV/0!</v>
      </c>
      <c r="K9" s="3" t="s">
        <v>453</v>
      </c>
      <c r="L9" s="211">
        <f>COUNT(C2:C289)</f>
        <v>288</v>
      </c>
      <c r="N9" s="124" t="s">
        <v>477</v>
      </c>
      <c r="O9" s="105">
        <v>2.7777777777777776E-2</v>
      </c>
      <c r="P9" s="104">
        <v>0</v>
      </c>
    </row>
    <row r="10" spans="1:16">
      <c r="A10" s="293"/>
      <c r="B10" s="8">
        <v>3.125E-2</v>
      </c>
      <c r="C10" s="17">
        <f>'Trading Report'!C11</f>
        <v>0</v>
      </c>
      <c r="D10" s="17">
        <f>'Trading Report'!D11</f>
        <v>0</v>
      </c>
      <c r="E10" s="17">
        <f>MQ!AD11</f>
        <v>0</v>
      </c>
      <c r="F10" s="63">
        <f t="shared" si="3"/>
        <v>0</v>
      </c>
      <c r="G10" s="63">
        <f t="shared" si="0"/>
        <v>0</v>
      </c>
      <c r="H10" s="63">
        <f t="shared" si="1"/>
        <v>0</v>
      </c>
      <c r="I10" s="14" t="e">
        <f t="shared" si="2"/>
        <v>#DIV/0!</v>
      </c>
      <c r="K10" s="3" t="s">
        <v>454</v>
      </c>
      <c r="L10" s="210">
        <f>MAX(E2:E289)</f>
        <v>0</v>
      </c>
      <c r="M10" s="114"/>
      <c r="N10" s="124" t="s">
        <v>478</v>
      </c>
      <c r="O10" s="105">
        <v>3.125E-2</v>
      </c>
      <c r="P10" s="104">
        <v>0</v>
      </c>
    </row>
    <row r="11" spans="1:16">
      <c r="A11" s="293"/>
      <c r="B11" s="8">
        <v>3.4722222222222224E-2</v>
      </c>
      <c r="C11" s="17">
        <f>'Trading Report'!C12</f>
        <v>0</v>
      </c>
      <c r="D11" s="17">
        <f>'Trading Report'!D12</f>
        <v>0</v>
      </c>
      <c r="E11" s="17">
        <f>MQ!AD12</f>
        <v>0</v>
      </c>
      <c r="F11" s="63">
        <f t="shared" si="3"/>
        <v>0</v>
      </c>
      <c r="G11" s="63">
        <f t="shared" si="0"/>
        <v>0</v>
      </c>
      <c r="H11" s="63">
        <f t="shared" si="1"/>
        <v>0</v>
      </c>
      <c r="I11" s="14" t="e">
        <f t="shared" si="2"/>
        <v>#DIV/0!</v>
      </c>
      <c r="M11" s="115"/>
      <c r="N11" s="124" t="s">
        <v>479</v>
      </c>
      <c r="O11" s="105">
        <v>3.4722222222222224E-2</v>
      </c>
      <c r="P11" s="104">
        <v>0</v>
      </c>
    </row>
    <row r="12" spans="1:16">
      <c r="A12" s="293"/>
      <c r="B12" s="8">
        <v>3.8194444444444441E-2</v>
      </c>
      <c r="C12" s="17">
        <f>'Trading Report'!C13</f>
        <v>0</v>
      </c>
      <c r="D12" s="17">
        <f>'Trading Report'!D13</f>
        <v>0</v>
      </c>
      <c r="E12" s="17">
        <f>MQ!AD13</f>
        <v>0</v>
      </c>
      <c r="F12" s="63">
        <f t="shared" si="3"/>
        <v>0</v>
      </c>
      <c r="G12" s="63">
        <f t="shared" si="0"/>
        <v>0</v>
      </c>
      <c r="H12" s="63">
        <f t="shared" si="1"/>
        <v>0</v>
      </c>
      <c r="I12" s="14" t="e">
        <f t="shared" si="2"/>
        <v>#DIV/0!</v>
      </c>
      <c r="K12" s="303" t="s">
        <v>456</v>
      </c>
      <c r="L12" s="303"/>
      <c r="M12" s="116"/>
      <c r="N12" s="124" t="s">
        <v>480</v>
      </c>
      <c r="O12" s="105">
        <v>3.8194444444444441E-2</v>
      </c>
      <c r="P12" s="104">
        <v>0</v>
      </c>
    </row>
    <row r="13" spans="1:16">
      <c r="A13" s="293"/>
      <c r="B13" s="8">
        <v>4.1666666666666664E-2</v>
      </c>
      <c r="C13" s="17">
        <f>'Trading Report'!C14</f>
        <v>0</v>
      </c>
      <c r="D13" s="17">
        <f>'Trading Report'!D14</f>
        <v>0</v>
      </c>
      <c r="E13" s="17">
        <f>MQ!AD14</f>
        <v>0</v>
      </c>
      <c r="F13" s="63">
        <f t="shared" si="3"/>
        <v>0</v>
      </c>
      <c r="G13" s="63">
        <f t="shared" si="0"/>
        <v>0</v>
      </c>
      <c r="H13" s="63">
        <f t="shared" si="1"/>
        <v>0</v>
      </c>
      <c r="I13" s="14" t="e">
        <f t="shared" si="2"/>
        <v>#DIV/0!</v>
      </c>
      <c r="K13" s="304" t="s">
        <v>457</v>
      </c>
      <c r="L13" s="304"/>
      <c r="M13" s="117"/>
      <c r="N13" s="124" t="s">
        <v>481</v>
      </c>
      <c r="O13" s="105">
        <v>4.1666666666666664E-2</v>
      </c>
      <c r="P13" s="104">
        <v>0</v>
      </c>
    </row>
    <row r="14" spans="1:16">
      <c r="A14" s="292" t="s">
        <v>3</v>
      </c>
      <c r="B14" s="8">
        <v>4.5138888888888902E-2</v>
      </c>
      <c r="C14" s="17">
        <f>'Trading Report'!C15</f>
        <v>0</v>
      </c>
      <c r="D14" s="17">
        <f>'Trading Report'!D15</f>
        <v>0</v>
      </c>
      <c r="E14" s="17">
        <f>MQ!AD15</f>
        <v>0</v>
      </c>
      <c r="F14" s="63">
        <f t="shared" si="3"/>
        <v>0</v>
      </c>
      <c r="G14" s="63">
        <f t="shared" si="0"/>
        <v>0</v>
      </c>
      <c r="H14" s="63">
        <f t="shared" si="1"/>
        <v>0</v>
      </c>
      <c r="I14" s="14" t="e">
        <f t="shared" si="2"/>
        <v>#DIV/0!</v>
      </c>
      <c r="K14" s="106" t="s">
        <v>458</v>
      </c>
      <c r="L14" s="107">
        <v>0.95</v>
      </c>
      <c r="M14" s="116"/>
      <c r="N14" s="124" t="s">
        <v>482</v>
      </c>
      <c r="O14" s="105">
        <v>4.5138888888888902E-2</v>
      </c>
      <c r="P14" s="104">
        <v>0</v>
      </c>
    </row>
    <row r="15" spans="1:16">
      <c r="A15" s="292"/>
      <c r="B15" s="8">
        <v>4.8611111111111098E-2</v>
      </c>
      <c r="C15" s="17">
        <f>'Trading Report'!C16</f>
        <v>0</v>
      </c>
      <c r="D15" s="17">
        <f>'Trading Report'!D16</f>
        <v>0</v>
      </c>
      <c r="E15" s="17">
        <f>MQ!AD16</f>
        <v>0</v>
      </c>
      <c r="F15" s="63">
        <f t="shared" si="3"/>
        <v>0</v>
      </c>
      <c r="G15" s="63">
        <f t="shared" si="0"/>
        <v>0</v>
      </c>
      <c r="H15" s="63">
        <f t="shared" si="1"/>
        <v>0</v>
      </c>
      <c r="I15" s="14" t="e">
        <f t="shared" si="2"/>
        <v>#DIV/0!</v>
      </c>
      <c r="K15" s="106" t="s">
        <v>459</v>
      </c>
      <c r="L15" s="111">
        <f>L9</f>
        <v>288</v>
      </c>
      <c r="M15" s="118"/>
      <c r="N15" s="124" t="s">
        <v>483</v>
      </c>
      <c r="O15" s="105">
        <v>4.8611111111111098E-2</v>
      </c>
      <c r="P15" s="104">
        <v>0</v>
      </c>
    </row>
    <row r="16" spans="1:16">
      <c r="A16" s="292"/>
      <c r="B16" s="8">
        <v>5.2083333333333301E-2</v>
      </c>
      <c r="C16" s="17">
        <f>'Trading Report'!C17</f>
        <v>0</v>
      </c>
      <c r="D16" s="17">
        <f>'Trading Report'!D17</f>
        <v>0</v>
      </c>
      <c r="E16" s="17">
        <f>MQ!AD17</f>
        <v>0</v>
      </c>
      <c r="F16" s="63">
        <f t="shared" si="3"/>
        <v>0</v>
      </c>
      <c r="G16" s="63">
        <f t="shared" si="0"/>
        <v>0</v>
      </c>
      <c r="H16" s="63">
        <f t="shared" si="1"/>
        <v>0</v>
      </c>
      <c r="I16" s="14" t="e">
        <f t="shared" si="2"/>
        <v>#DIV/0!</v>
      </c>
      <c r="K16" s="106" t="s">
        <v>460</v>
      </c>
      <c r="L16" s="107">
        <f>L14*(L15+1)</f>
        <v>274.55</v>
      </c>
      <c r="M16" s="119"/>
      <c r="N16" s="124" t="s">
        <v>484</v>
      </c>
      <c r="O16" s="105">
        <v>5.2083333333333301E-2</v>
      </c>
      <c r="P16" s="104">
        <v>0</v>
      </c>
    </row>
    <row r="17" spans="1:16">
      <c r="A17" s="292"/>
      <c r="B17" s="8">
        <v>5.5555555555555497E-2</v>
      </c>
      <c r="C17" s="17">
        <f>'Trading Report'!C18</f>
        <v>0</v>
      </c>
      <c r="D17" s="17">
        <f>'Trading Report'!D18</f>
        <v>0</v>
      </c>
      <c r="E17" s="17">
        <f>MQ!AD18</f>
        <v>0</v>
      </c>
      <c r="F17" s="63">
        <f t="shared" si="3"/>
        <v>0</v>
      </c>
      <c r="G17" s="63">
        <f t="shared" si="0"/>
        <v>0</v>
      </c>
      <c r="H17" s="63">
        <f t="shared" si="1"/>
        <v>0</v>
      </c>
      <c r="I17" s="14" t="e">
        <f t="shared" si="2"/>
        <v>#DIV/0!</v>
      </c>
      <c r="K17" s="108" t="s">
        <v>461</v>
      </c>
      <c r="L17" s="109">
        <f>TRUNC(L16)</f>
        <v>274</v>
      </c>
      <c r="M17" s="115"/>
      <c r="N17" s="124" t="s">
        <v>485</v>
      </c>
      <c r="O17" s="105">
        <v>5.5555555555555497E-2</v>
      </c>
      <c r="P17" s="104">
        <v>0</v>
      </c>
    </row>
    <row r="18" spans="1:16">
      <c r="A18" s="292"/>
      <c r="B18" s="8">
        <v>5.9027777777777797E-2</v>
      </c>
      <c r="C18" s="17">
        <f>'Trading Report'!C19</f>
        <v>0</v>
      </c>
      <c r="D18" s="17">
        <f>'Trading Report'!D19</f>
        <v>0</v>
      </c>
      <c r="E18" s="17">
        <f>MQ!AD19</f>
        <v>0</v>
      </c>
      <c r="F18" s="63">
        <f t="shared" si="3"/>
        <v>0</v>
      </c>
      <c r="G18" s="63">
        <f t="shared" si="0"/>
        <v>0</v>
      </c>
      <c r="H18" s="63">
        <f t="shared" si="1"/>
        <v>0</v>
      </c>
      <c r="I18" s="14" t="e">
        <f t="shared" si="2"/>
        <v>#DIV/0!</v>
      </c>
      <c r="K18" s="108" t="s">
        <v>462</v>
      </c>
      <c r="L18" s="110">
        <f>L16-(TRUNC(L16))</f>
        <v>0.55000000000001137</v>
      </c>
      <c r="M18" s="116"/>
      <c r="N18" s="124" t="s">
        <v>486</v>
      </c>
      <c r="O18" s="105">
        <v>5.9027777777777797E-2</v>
      </c>
      <c r="P18" s="104">
        <v>0</v>
      </c>
    </row>
    <row r="19" spans="1:16">
      <c r="A19" s="292"/>
      <c r="B19" s="8">
        <v>6.25E-2</v>
      </c>
      <c r="C19" s="17">
        <f>'Trading Report'!C20</f>
        <v>0</v>
      </c>
      <c r="D19" s="17">
        <f>'Trading Report'!D20</f>
        <v>0</v>
      </c>
      <c r="E19" s="17">
        <f>MQ!AD20</f>
        <v>0</v>
      </c>
      <c r="F19" s="63">
        <f t="shared" si="3"/>
        <v>0</v>
      </c>
      <c r="G19" s="63">
        <f t="shared" si="0"/>
        <v>0</v>
      </c>
      <c r="H19" s="63">
        <f t="shared" si="1"/>
        <v>0</v>
      </c>
      <c r="I19" s="14" t="e">
        <f t="shared" si="2"/>
        <v>#DIV/0!</v>
      </c>
      <c r="K19" s="304" t="s">
        <v>463</v>
      </c>
      <c r="L19" s="304"/>
      <c r="M19" s="117"/>
      <c r="N19" s="124" t="s">
        <v>487</v>
      </c>
      <c r="O19" s="105">
        <v>6.25E-2</v>
      </c>
      <c r="P19" s="104">
        <v>0</v>
      </c>
    </row>
    <row r="20" spans="1:16">
      <c r="A20" s="292"/>
      <c r="B20" s="8">
        <v>6.5972222222222196E-2</v>
      </c>
      <c r="C20" s="17">
        <f>'Trading Report'!C21</f>
        <v>0</v>
      </c>
      <c r="D20" s="17">
        <f>'Trading Report'!D21</f>
        <v>0</v>
      </c>
      <c r="E20" s="17">
        <f>MQ!AD21</f>
        <v>0</v>
      </c>
      <c r="F20" s="63">
        <f t="shared" si="3"/>
        <v>0</v>
      </c>
      <c r="G20" s="63">
        <f t="shared" si="0"/>
        <v>0</v>
      </c>
      <c r="H20" s="63">
        <f t="shared" si="1"/>
        <v>0</v>
      </c>
      <c r="I20" s="14" t="e">
        <f t="shared" si="2"/>
        <v>#DIV/0!</v>
      </c>
      <c r="K20" s="106" t="s">
        <v>462</v>
      </c>
      <c r="L20" s="107">
        <f>L18</f>
        <v>0.55000000000001137</v>
      </c>
      <c r="M20" s="117"/>
      <c r="N20" s="124" t="s">
        <v>488</v>
      </c>
      <c r="O20" s="105">
        <v>6.5972222222222196E-2</v>
      </c>
      <c r="P20" s="104">
        <v>0</v>
      </c>
    </row>
    <row r="21" spans="1:16" ht="15.75" customHeight="1">
      <c r="A21" s="292"/>
      <c r="B21" s="8">
        <v>6.9444444444444406E-2</v>
      </c>
      <c r="C21" s="17">
        <f>'Trading Report'!C22</f>
        <v>0</v>
      </c>
      <c r="D21" s="17">
        <f>'Trading Report'!D22</f>
        <v>0</v>
      </c>
      <c r="E21" s="17">
        <f>MQ!AD22</f>
        <v>0</v>
      </c>
      <c r="F21" s="63">
        <f t="shared" si="3"/>
        <v>0</v>
      </c>
      <c r="G21" s="63">
        <f t="shared" si="0"/>
        <v>0</v>
      </c>
      <c r="H21" s="63">
        <f t="shared" si="1"/>
        <v>0</v>
      </c>
      <c r="I21" s="14" t="e">
        <f t="shared" si="2"/>
        <v>#DIV/0!</v>
      </c>
      <c r="K21" s="106" t="s">
        <v>464</v>
      </c>
      <c r="L21" s="111">
        <f>L17</f>
        <v>274</v>
      </c>
      <c r="M21" s="120"/>
      <c r="N21" s="124" t="s">
        <v>489</v>
      </c>
      <c r="O21" s="105">
        <v>6.9444444444444406E-2</v>
      </c>
      <c r="P21" s="104">
        <v>0</v>
      </c>
    </row>
    <row r="22" spans="1:16" ht="15.75" customHeight="1">
      <c r="A22" s="292"/>
      <c r="B22" s="8">
        <v>7.2916666666666602E-2</v>
      </c>
      <c r="C22" s="17">
        <f>'Trading Report'!C23</f>
        <v>0</v>
      </c>
      <c r="D22" s="17">
        <f>'Trading Report'!D23</f>
        <v>0</v>
      </c>
      <c r="E22" s="17">
        <f>MQ!AD23</f>
        <v>0</v>
      </c>
      <c r="F22" s="63">
        <f t="shared" si="3"/>
        <v>0</v>
      </c>
      <c r="G22" s="63">
        <f t="shared" si="0"/>
        <v>0</v>
      </c>
      <c r="H22" s="63">
        <f t="shared" si="1"/>
        <v>0</v>
      </c>
      <c r="I22" s="14" t="e">
        <f t="shared" si="2"/>
        <v>#DIV/0!</v>
      </c>
      <c r="K22" s="106" t="s">
        <v>465</v>
      </c>
      <c r="L22" s="111">
        <f>L21+1</f>
        <v>275</v>
      </c>
      <c r="M22" s="120"/>
      <c r="N22" s="124" t="s">
        <v>490</v>
      </c>
      <c r="O22" s="105">
        <v>7.2916666666666602E-2</v>
      </c>
      <c r="P22" s="104">
        <v>0</v>
      </c>
    </row>
    <row r="23" spans="1:16" ht="15.75" customHeight="1">
      <c r="A23" s="292"/>
      <c r="B23" s="8">
        <v>7.6388888888888895E-2</v>
      </c>
      <c r="C23" s="17">
        <f>'Trading Report'!C24</f>
        <v>0</v>
      </c>
      <c r="D23" s="17">
        <f>'Trading Report'!D24</f>
        <v>0</v>
      </c>
      <c r="E23" s="17">
        <f>MQ!AD24</f>
        <v>0</v>
      </c>
      <c r="F23" s="63">
        <f t="shared" si="3"/>
        <v>0</v>
      </c>
      <c r="G23" s="63">
        <f t="shared" si="0"/>
        <v>0</v>
      </c>
      <c r="H23" s="63">
        <f t="shared" si="1"/>
        <v>0</v>
      </c>
      <c r="I23" s="14" t="e">
        <f t="shared" si="2"/>
        <v>#DIV/0!</v>
      </c>
      <c r="K23" s="305" t="s">
        <v>466</v>
      </c>
      <c r="L23" s="305"/>
      <c r="M23" s="120"/>
      <c r="N23" s="124" t="s">
        <v>491</v>
      </c>
      <c r="O23" s="105">
        <v>7.6388888888888895E-2</v>
      </c>
      <c r="P23" s="104">
        <v>0</v>
      </c>
    </row>
    <row r="24" spans="1:16">
      <c r="A24" s="292"/>
      <c r="B24" s="8">
        <v>7.9861111111111105E-2</v>
      </c>
      <c r="C24" s="17">
        <f>'Trading Report'!C25</f>
        <v>0</v>
      </c>
      <c r="D24" s="17">
        <f>'Trading Report'!D25</f>
        <v>0</v>
      </c>
      <c r="E24" s="17">
        <f>MQ!AD25</f>
        <v>0</v>
      </c>
      <c r="F24" s="63">
        <f t="shared" si="3"/>
        <v>0</v>
      </c>
      <c r="G24" s="63">
        <f t="shared" si="0"/>
        <v>0</v>
      </c>
      <c r="H24" s="63">
        <f t="shared" si="1"/>
        <v>0</v>
      </c>
      <c r="I24" s="14" t="e">
        <f t="shared" si="2"/>
        <v>#DIV/0!</v>
      </c>
      <c r="K24" s="305"/>
      <c r="L24" s="305"/>
      <c r="M24" s="117"/>
      <c r="N24" s="124" t="s">
        <v>492</v>
      </c>
      <c r="O24" s="105">
        <v>7.9861111111111105E-2</v>
      </c>
      <c r="P24" s="104">
        <v>0</v>
      </c>
    </row>
    <row r="25" spans="1:16">
      <c r="A25" s="292"/>
      <c r="B25" s="8">
        <v>8.3333333333333301E-2</v>
      </c>
      <c r="C25" s="17">
        <f>'Trading Report'!C26</f>
        <v>0</v>
      </c>
      <c r="D25" s="17">
        <f>'Trading Report'!D26</f>
        <v>0</v>
      </c>
      <c r="E25" s="17">
        <f>MQ!AD26</f>
        <v>0</v>
      </c>
      <c r="F25" s="63">
        <f t="shared" si="3"/>
        <v>0</v>
      </c>
      <c r="G25" s="63">
        <f t="shared" si="0"/>
        <v>0</v>
      </c>
      <c r="H25" s="63">
        <f t="shared" si="1"/>
        <v>0</v>
      </c>
      <c r="I25" s="14" t="e">
        <f t="shared" si="2"/>
        <v>#DIV/0!</v>
      </c>
      <c r="K25" s="305"/>
      <c r="L25" s="305"/>
      <c r="M25" s="117"/>
      <c r="N25" s="124" t="s">
        <v>493</v>
      </c>
      <c r="O25" s="105">
        <v>8.3333333333333301E-2</v>
      </c>
      <c r="P25" s="104">
        <v>0</v>
      </c>
    </row>
    <row r="26" spans="1:16">
      <c r="A26" s="292" t="s">
        <v>4</v>
      </c>
      <c r="B26" s="8">
        <v>8.6805555555555497E-2</v>
      </c>
      <c r="C26" s="17">
        <f>'Trading Report'!C27</f>
        <v>0</v>
      </c>
      <c r="D26" s="17">
        <f>'Trading Report'!D27</f>
        <v>0</v>
      </c>
      <c r="E26" s="17">
        <f>MQ!AD27</f>
        <v>0</v>
      </c>
      <c r="F26" s="63">
        <f t="shared" si="3"/>
        <v>0</v>
      </c>
      <c r="G26" s="63">
        <f t="shared" si="0"/>
        <v>0</v>
      </c>
      <c r="H26" s="63">
        <f t="shared" si="1"/>
        <v>0</v>
      </c>
      <c r="I26" s="14" t="e">
        <f t="shared" si="2"/>
        <v>#DIV/0!</v>
      </c>
      <c r="K26" s="106" t="s">
        <v>467</v>
      </c>
      <c r="L26" s="111">
        <f>P275*100</f>
        <v>26.339462238038745</v>
      </c>
      <c r="M26" s="121"/>
      <c r="N26" s="124" t="s">
        <v>494</v>
      </c>
      <c r="O26" s="105">
        <v>8.6805555555555497E-2</v>
      </c>
      <c r="P26" s="104">
        <v>0</v>
      </c>
    </row>
    <row r="27" spans="1:16">
      <c r="A27" s="292"/>
      <c r="B27" s="8">
        <v>9.0277777777777804E-2</v>
      </c>
      <c r="C27" s="17">
        <f>'Trading Report'!C28</f>
        <v>0</v>
      </c>
      <c r="D27" s="17">
        <f>'Trading Report'!D28</f>
        <v>0</v>
      </c>
      <c r="E27" s="17">
        <f>MQ!AD28</f>
        <v>0</v>
      </c>
      <c r="F27" s="63">
        <f t="shared" si="3"/>
        <v>0</v>
      </c>
      <c r="G27" s="63">
        <f t="shared" si="0"/>
        <v>0</v>
      </c>
      <c r="H27" s="63">
        <f t="shared" si="1"/>
        <v>0</v>
      </c>
      <c r="I27" s="14" t="e">
        <f t="shared" si="2"/>
        <v>#DIV/0!</v>
      </c>
      <c r="K27" s="106" t="s">
        <v>468</v>
      </c>
      <c r="L27" s="111">
        <f>P276*100</f>
        <v>26.682977461447209</v>
      </c>
      <c r="N27" s="124" t="s">
        <v>495</v>
      </c>
      <c r="O27" s="105">
        <v>9.0277777777777804E-2</v>
      </c>
      <c r="P27" s="104">
        <v>0</v>
      </c>
    </row>
    <row r="28" spans="1:16">
      <c r="A28" s="292"/>
      <c r="B28" s="8">
        <v>9.375E-2</v>
      </c>
      <c r="C28" s="17">
        <f>'Trading Report'!C29</f>
        <v>0</v>
      </c>
      <c r="D28" s="17">
        <f>'Trading Report'!D29</f>
        <v>0</v>
      </c>
      <c r="E28" s="17">
        <f>MQ!AD29</f>
        <v>0</v>
      </c>
      <c r="F28" s="63">
        <f t="shared" si="3"/>
        <v>0</v>
      </c>
      <c r="G28" s="63">
        <f t="shared" si="0"/>
        <v>0</v>
      </c>
      <c r="H28" s="63">
        <f t="shared" si="1"/>
        <v>0</v>
      </c>
      <c r="I28" s="14" t="e">
        <f t="shared" si="2"/>
        <v>#DIV/0!</v>
      </c>
      <c r="K28" s="112" t="s">
        <v>469</v>
      </c>
      <c r="L28" s="113">
        <f>(L26+(L20*(L27-L26)))/100</f>
        <v>0.26528395610913402</v>
      </c>
      <c r="N28" s="124" t="s">
        <v>496</v>
      </c>
      <c r="O28" s="105">
        <v>9.375E-2</v>
      </c>
      <c r="P28" s="104">
        <v>0</v>
      </c>
    </row>
    <row r="29" spans="1:16">
      <c r="A29" s="292"/>
      <c r="B29" s="8">
        <v>9.7222222222222196E-2</v>
      </c>
      <c r="C29" s="17">
        <f>'Trading Report'!C30</f>
        <v>0</v>
      </c>
      <c r="D29" s="17">
        <f>'Trading Report'!D30</f>
        <v>0</v>
      </c>
      <c r="E29" s="17">
        <f>MQ!AD30</f>
        <v>0</v>
      </c>
      <c r="F29" s="63">
        <f t="shared" si="3"/>
        <v>0</v>
      </c>
      <c r="G29" s="63">
        <f t="shared" si="0"/>
        <v>0</v>
      </c>
      <c r="H29" s="63">
        <f t="shared" si="1"/>
        <v>0</v>
      </c>
      <c r="I29" s="14" t="e">
        <f t="shared" si="2"/>
        <v>#DIV/0!</v>
      </c>
      <c r="N29" s="124" t="s">
        <v>497</v>
      </c>
      <c r="O29" s="105">
        <v>9.7222222222222196E-2</v>
      </c>
      <c r="P29" s="104">
        <v>0</v>
      </c>
    </row>
    <row r="30" spans="1:16">
      <c r="A30" s="292"/>
      <c r="B30" s="8">
        <v>0.100694444444444</v>
      </c>
      <c r="C30" s="17">
        <f>'Trading Report'!C31</f>
        <v>0</v>
      </c>
      <c r="D30" s="17">
        <f>'Trading Report'!D31</f>
        <v>0</v>
      </c>
      <c r="E30" s="17">
        <f>MQ!AD31</f>
        <v>0</v>
      </c>
      <c r="F30" s="63">
        <f t="shared" si="3"/>
        <v>0</v>
      </c>
      <c r="G30" s="63">
        <f t="shared" si="0"/>
        <v>0</v>
      </c>
      <c r="H30" s="63">
        <f t="shared" si="1"/>
        <v>0</v>
      </c>
      <c r="I30" s="14" t="e">
        <f t="shared" si="2"/>
        <v>#DIV/0!</v>
      </c>
      <c r="N30" s="124" t="s">
        <v>498</v>
      </c>
      <c r="O30" s="105">
        <v>0.100694444444444</v>
      </c>
      <c r="P30" s="104">
        <v>0</v>
      </c>
    </row>
    <row r="31" spans="1:16">
      <c r="A31" s="292"/>
      <c r="B31" s="8">
        <v>0.10416666666666601</v>
      </c>
      <c r="C31" s="17">
        <f>'Trading Report'!C32</f>
        <v>0</v>
      </c>
      <c r="D31" s="17">
        <f>'Trading Report'!D32</f>
        <v>0</v>
      </c>
      <c r="E31" s="17">
        <f>MQ!AD32</f>
        <v>0</v>
      </c>
      <c r="F31" s="63">
        <f t="shared" si="3"/>
        <v>0</v>
      </c>
      <c r="G31" s="63">
        <f t="shared" si="0"/>
        <v>0</v>
      </c>
      <c r="H31" s="63">
        <f t="shared" si="1"/>
        <v>0</v>
      </c>
      <c r="I31" s="14" t="e">
        <f t="shared" si="2"/>
        <v>#DIV/0!</v>
      </c>
      <c r="N31" s="124" t="s">
        <v>499</v>
      </c>
      <c r="O31" s="105">
        <v>0.10416666666666601</v>
      </c>
      <c r="P31" s="104">
        <v>0</v>
      </c>
    </row>
    <row r="32" spans="1:16">
      <c r="A32" s="292"/>
      <c r="B32" s="8">
        <v>0.10763888888888901</v>
      </c>
      <c r="C32" s="17">
        <f>'Trading Report'!C33</f>
        <v>0</v>
      </c>
      <c r="D32" s="17">
        <f>'Trading Report'!D33</f>
        <v>0</v>
      </c>
      <c r="E32" s="17">
        <f>MQ!AD33</f>
        <v>0</v>
      </c>
      <c r="F32" s="63">
        <f t="shared" si="3"/>
        <v>0</v>
      </c>
      <c r="G32" s="63">
        <f t="shared" si="0"/>
        <v>0</v>
      </c>
      <c r="H32" s="63">
        <f t="shared" si="1"/>
        <v>0</v>
      </c>
      <c r="I32" s="14" t="e">
        <f t="shared" si="2"/>
        <v>#DIV/0!</v>
      </c>
      <c r="N32" s="124" t="s">
        <v>500</v>
      </c>
      <c r="O32" s="105">
        <v>0.10763888888888901</v>
      </c>
      <c r="P32" s="104">
        <v>0</v>
      </c>
    </row>
    <row r="33" spans="1:16">
      <c r="A33" s="292"/>
      <c r="B33" s="8">
        <v>0.11111111111111099</v>
      </c>
      <c r="C33" s="17">
        <f>'Trading Report'!C34</f>
        <v>0</v>
      </c>
      <c r="D33" s="17">
        <f>'Trading Report'!D34</f>
        <v>0</v>
      </c>
      <c r="E33" s="17">
        <f>MQ!AD34</f>
        <v>0</v>
      </c>
      <c r="F33" s="63">
        <f t="shared" si="3"/>
        <v>0</v>
      </c>
      <c r="G33" s="63">
        <f t="shared" si="0"/>
        <v>0</v>
      </c>
      <c r="H33" s="63">
        <f t="shared" si="1"/>
        <v>0</v>
      </c>
      <c r="I33" s="14" t="e">
        <f t="shared" si="2"/>
        <v>#DIV/0!</v>
      </c>
      <c r="N33" s="124" t="s">
        <v>501</v>
      </c>
      <c r="O33" s="105">
        <v>0.11111111111111099</v>
      </c>
      <c r="P33" s="104">
        <v>0</v>
      </c>
    </row>
    <row r="34" spans="1:16">
      <c r="A34" s="292"/>
      <c r="B34" s="8">
        <v>0.114583333333333</v>
      </c>
      <c r="C34" s="17">
        <f>'Trading Report'!C35</f>
        <v>0</v>
      </c>
      <c r="D34" s="17">
        <f>'Trading Report'!D35</f>
        <v>0</v>
      </c>
      <c r="E34" s="17">
        <f>MQ!AD35</f>
        <v>0</v>
      </c>
      <c r="F34" s="63">
        <f t="shared" si="3"/>
        <v>0</v>
      </c>
      <c r="G34" s="63">
        <f t="shared" si="0"/>
        <v>0</v>
      </c>
      <c r="H34" s="63">
        <f t="shared" si="1"/>
        <v>0</v>
      </c>
      <c r="I34" s="14" t="e">
        <f t="shared" si="2"/>
        <v>#DIV/0!</v>
      </c>
      <c r="N34" s="124" t="s">
        <v>502</v>
      </c>
      <c r="O34" s="105">
        <v>0.114583333333333</v>
      </c>
      <c r="P34" s="104">
        <v>0</v>
      </c>
    </row>
    <row r="35" spans="1:16">
      <c r="A35" s="292"/>
      <c r="B35" s="8">
        <v>0.118055555555555</v>
      </c>
      <c r="C35" s="17">
        <f>'Trading Report'!C36</f>
        <v>0</v>
      </c>
      <c r="D35" s="17">
        <f>'Trading Report'!D36</f>
        <v>0</v>
      </c>
      <c r="E35" s="17">
        <f>MQ!AD36</f>
        <v>0</v>
      </c>
      <c r="F35" s="63">
        <f t="shared" si="3"/>
        <v>0</v>
      </c>
      <c r="G35" s="63">
        <f t="shared" si="0"/>
        <v>0</v>
      </c>
      <c r="H35" s="63">
        <f t="shared" si="1"/>
        <v>0</v>
      </c>
      <c r="I35" s="14" t="e">
        <f t="shared" si="2"/>
        <v>#DIV/0!</v>
      </c>
      <c r="N35" s="124" t="s">
        <v>503</v>
      </c>
      <c r="O35" s="105">
        <v>0.118055555555555</v>
      </c>
      <c r="P35" s="104">
        <v>0</v>
      </c>
    </row>
    <row r="36" spans="1:16">
      <c r="A36" s="292"/>
      <c r="B36" s="8">
        <v>0.121527777777778</v>
      </c>
      <c r="C36" s="17">
        <f>'Trading Report'!C37</f>
        <v>0</v>
      </c>
      <c r="D36" s="17">
        <f>'Trading Report'!D37</f>
        <v>0</v>
      </c>
      <c r="E36" s="17">
        <f>MQ!AD37</f>
        <v>0</v>
      </c>
      <c r="F36" s="63">
        <f t="shared" si="3"/>
        <v>0</v>
      </c>
      <c r="G36" s="63">
        <f t="shared" si="0"/>
        <v>0</v>
      </c>
      <c r="H36" s="63">
        <f t="shared" si="1"/>
        <v>0</v>
      </c>
      <c r="I36" s="14" t="e">
        <f t="shared" si="2"/>
        <v>#DIV/0!</v>
      </c>
      <c r="N36" s="124" t="s">
        <v>504</v>
      </c>
      <c r="O36" s="105">
        <v>0.121527777777778</v>
      </c>
      <c r="P36" s="104">
        <v>0</v>
      </c>
    </row>
    <row r="37" spans="1:16">
      <c r="A37" s="292"/>
      <c r="B37" s="8">
        <v>0.125</v>
      </c>
      <c r="C37" s="17">
        <f>'Trading Report'!C38</f>
        <v>0</v>
      </c>
      <c r="D37" s="17">
        <f>'Trading Report'!D38</f>
        <v>0</v>
      </c>
      <c r="E37" s="17">
        <f>MQ!AD38</f>
        <v>0</v>
      </c>
      <c r="F37" s="63">
        <f t="shared" si="3"/>
        <v>0</v>
      </c>
      <c r="G37" s="63">
        <f t="shared" si="0"/>
        <v>0</v>
      </c>
      <c r="H37" s="63">
        <f t="shared" si="1"/>
        <v>0</v>
      </c>
      <c r="I37" s="14" t="e">
        <f t="shared" si="2"/>
        <v>#DIV/0!</v>
      </c>
      <c r="N37" s="124" t="s">
        <v>505</v>
      </c>
      <c r="O37" s="105">
        <v>0.125</v>
      </c>
      <c r="P37" s="104">
        <v>0</v>
      </c>
    </row>
    <row r="38" spans="1:16">
      <c r="A38" s="292" t="s">
        <v>5</v>
      </c>
      <c r="B38" s="8">
        <v>0.12847222222222199</v>
      </c>
      <c r="C38" s="17">
        <f>'Trading Report'!C39</f>
        <v>0</v>
      </c>
      <c r="D38" s="17">
        <f>'Trading Report'!D39</f>
        <v>0</v>
      </c>
      <c r="E38" s="17">
        <f>MQ!AD39</f>
        <v>0</v>
      </c>
      <c r="F38" s="63">
        <f t="shared" si="3"/>
        <v>0</v>
      </c>
      <c r="G38" s="63">
        <f t="shared" si="0"/>
        <v>0</v>
      </c>
      <c r="H38" s="63">
        <f t="shared" si="1"/>
        <v>0</v>
      </c>
      <c r="I38" s="14" t="e">
        <f t="shared" si="2"/>
        <v>#DIV/0!</v>
      </c>
      <c r="N38" s="124" t="s">
        <v>506</v>
      </c>
      <c r="O38" s="105">
        <v>0.12847222222222199</v>
      </c>
      <c r="P38" s="104">
        <v>0</v>
      </c>
    </row>
    <row r="39" spans="1:16">
      <c r="A39" s="292"/>
      <c r="B39" s="8">
        <v>0.131944444444444</v>
      </c>
      <c r="C39" s="17">
        <f>'Trading Report'!C40</f>
        <v>0</v>
      </c>
      <c r="D39" s="17">
        <f>'Trading Report'!D40</f>
        <v>0</v>
      </c>
      <c r="E39" s="17">
        <f>MQ!AD40</f>
        <v>0</v>
      </c>
      <c r="F39" s="63">
        <f t="shared" si="3"/>
        <v>0</v>
      </c>
      <c r="G39" s="63">
        <f t="shared" si="0"/>
        <v>0</v>
      </c>
      <c r="H39" s="63">
        <f t="shared" si="1"/>
        <v>0</v>
      </c>
      <c r="I39" s="14" t="e">
        <f t="shared" si="2"/>
        <v>#DIV/0!</v>
      </c>
      <c r="N39" s="124" t="s">
        <v>507</v>
      </c>
      <c r="O39" s="105">
        <v>0.131944444444444</v>
      </c>
      <c r="P39" s="104">
        <v>0</v>
      </c>
    </row>
    <row r="40" spans="1:16">
      <c r="A40" s="292"/>
      <c r="B40" s="8">
        <v>0.13541666666666599</v>
      </c>
      <c r="C40" s="17">
        <f>'Trading Report'!C41</f>
        <v>0</v>
      </c>
      <c r="D40" s="17">
        <f>'Trading Report'!D41</f>
        <v>0</v>
      </c>
      <c r="E40" s="17">
        <f>MQ!AD41</f>
        <v>0</v>
      </c>
      <c r="F40" s="63">
        <f t="shared" si="3"/>
        <v>0</v>
      </c>
      <c r="G40" s="63">
        <f t="shared" si="0"/>
        <v>0</v>
      </c>
      <c r="H40" s="63">
        <f t="shared" si="1"/>
        <v>0</v>
      </c>
      <c r="I40" s="14" t="e">
        <f t="shared" si="2"/>
        <v>#DIV/0!</v>
      </c>
      <c r="N40" s="124" t="s">
        <v>508</v>
      </c>
      <c r="O40" s="105">
        <v>0.13541666666666599</v>
      </c>
      <c r="P40" s="104">
        <v>0</v>
      </c>
    </row>
    <row r="41" spans="1:16">
      <c r="A41" s="292"/>
      <c r="B41" s="8">
        <v>0.13888888888888901</v>
      </c>
      <c r="C41" s="17">
        <f>'Trading Report'!C42</f>
        <v>0</v>
      </c>
      <c r="D41" s="17">
        <f>'Trading Report'!D42</f>
        <v>0</v>
      </c>
      <c r="E41" s="17">
        <f>MQ!AD42</f>
        <v>0</v>
      </c>
      <c r="F41" s="63">
        <f t="shared" si="3"/>
        <v>0</v>
      </c>
      <c r="G41" s="63">
        <f t="shared" si="0"/>
        <v>0</v>
      </c>
      <c r="H41" s="63">
        <f t="shared" si="1"/>
        <v>0</v>
      </c>
      <c r="I41" s="14" t="e">
        <f t="shared" si="2"/>
        <v>#DIV/0!</v>
      </c>
      <c r="N41" s="124" t="s">
        <v>509</v>
      </c>
      <c r="O41" s="105">
        <v>0.13888888888888901</v>
      </c>
      <c r="P41" s="104">
        <v>0</v>
      </c>
    </row>
    <row r="42" spans="1:16">
      <c r="A42" s="292"/>
      <c r="B42" s="8">
        <v>0.14236111111111099</v>
      </c>
      <c r="C42" s="17">
        <f>'Trading Report'!C43</f>
        <v>0</v>
      </c>
      <c r="D42" s="17">
        <f>'Trading Report'!D43</f>
        <v>0</v>
      </c>
      <c r="E42" s="17">
        <f>MQ!AD43</f>
        <v>0</v>
      </c>
      <c r="F42" s="63">
        <f t="shared" si="3"/>
        <v>0</v>
      </c>
      <c r="G42" s="63">
        <f t="shared" si="0"/>
        <v>0</v>
      </c>
      <c r="H42" s="63">
        <f t="shared" si="1"/>
        <v>0</v>
      </c>
      <c r="I42" s="14" t="e">
        <f t="shared" si="2"/>
        <v>#DIV/0!</v>
      </c>
      <c r="N42" s="124" t="s">
        <v>510</v>
      </c>
      <c r="O42" s="105">
        <v>0.14236111111111099</v>
      </c>
      <c r="P42" s="104">
        <v>0</v>
      </c>
    </row>
    <row r="43" spans="1:16">
      <c r="A43" s="292"/>
      <c r="B43" s="8">
        <v>0.14583333333333301</v>
      </c>
      <c r="C43" s="17">
        <f>'Trading Report'!C44</f>
        <v>0</v>
      </c>
      <c r="D43" s="17">
        <f>'Trading Report'!D44</f>
        <v>0</v>
      </c>
      <c r="E43" s="17">
        <f>MQ!AD44</f>
        <v>0</v>
      </c>
      <c r="F43" s="63">
        <f t="shared" si="3"/>
        <v>0</v>
      </c>
      <c r="G43" s="63">
        <f t="shared" si="0"/>
        <v>0</v>
      </c>
      <c r="H43" s="63">
        <f t="shared" si="1"/>
        <v>0</v>
      </c>
      <c r="I43" s="14" t="e">
        <f t="shared" si="2"/>
        <v>#DIV/0!</v>
      </c>
      <c r="N43" s="124" t="s">
        <v>511</v>
      </c>
      <c r="O43" s="105">
        <v>0.14583333333333301</v>
      </c>
      <c r="P43" s="104">
        <v>0</v>
      </c>
    </row>
    <row r="44" spans="1:16">
      <c r="A44" s="292"/>
      <c r="B44" s="8">
        <v>0.149305555555555</v>
      </c>
      <c r="C44" s="17">
        <f>'Trading Report'!C45</f>
        <v>0</v>
      </c>
      <c r="D44" s="17">
        <f>'Trading Report'!D45</f>
        <v>0</v>
      </c>
      <c r="E44" s="17">
        <f>MQ!AD45</f>
        <v>0</v>
      </c>
      <c r="F44" s="63">
        <f t="shared" si="3"/>
        <v>0</v>
      </c>
      <c r="G44" s="63">
        <f t="shared" si="0"/>
        <v>0</v>
      </c>
      <c r="H44" s="63">
        <f t="shared" si="1"/>
        <v>0</v>
      </c>
      <c r="I44" s="14" t="e">
        <f t="shared" si="2"/>
        <v>#DIV/0!</v>
      </c>
      <c r="N44" s="124" t="s">
        <v>512</v>
      </c>
      <c r="O44" s="105">
        <v>0.149305555555555</v>
      </c>
      <c r="P44" s="104">
        <v>0</v>
      </c>
    </row>
    <row r="45" spans="1:16">
      <c r="A45" s="292"/>
      <c r="B45" s="8">
        <v>0.15277777777777801</v>
      </c>
      <c r="C45" s="17">
        <f>'Trading Report'!C46</f>
        <v>0</v>
      </c>
      <c r="D45" s="17">
        <f>'Trading Report'!D46</f>
        <v>0</v>
      </c>
      <c r="E45" s="17">
        <f>MQ!AD46</f>
        <v>0</v>
      </c>
      <c r="F45" s="63">
        <f t="shared" si="3"/>
        <v>0</v>
      </c>
      <c r="G45" s="63">
        <f t="shared" si="0"/>
        <v>0</v>
      </c>
      <c r="H45" s="63">
        <f t="shared" si="1"/>
        <v>0</v>
      </c>
      <c r="I45" s="14" t="e">
        <f t="shared" si="2"/>
        <v>#DIV/0!</v>
      </c>
      <c r="N45" s="124" t="s">
        <v>513</v>
      </c>
      <c r="O45" s="105">
        <v>0.15277777777777801</v>
      </c>
      <c r="P45" s="104">
        <v>0</v>
      </c>
    </row>
    <row r="46" spans="1:16">
      <c r="A46" s="292"/>
      <c r="B46" s="8">
        <v>0.15625</v>
      </c>
      <c r="C46" s="17">
        <f>'Trading Report'!C47</f>
        <v>0</v>
      </c>
      <c r="D46" s="17">
        <f>'Trading Report'!D47</f>
        <v>0</v>
      </c>
      <c r="E46" s="17">
        <f>MQ!AD47</f>
        <v>0</v>
      </c>
      <c r="F46" s="63">
        <f t="shared" si="3"/>
        <v>0</v>
      </c>
      <c r="G46" s="63">
        <f t="shared" si="0"/>
        <v>0</v>
      </c>
      <c r="H46" s="63">
        <f t="shared" si="1"/>
        <v>0</v>
      </c>
      <c r="I46" s="14" t="e">
        <f t="shared" si="2"/>
        <v>#DIV/0!</v>
      </c>
      <c r="N46" s="124" t="s">
        <v>514</v>
      </c>
      <c r="O46" s="105">
        <v>0.15625</v>
      </c>
      <c r="P46" s="104">
        <v>0</v>
      </c>
    </row>
    <row r="47" spans="1:16">
      <c r="A47" s="292"/>
      <c r="B47" s="8">
        <v>0.15972222222222199</v>
      </c>
      <c r="C47" s="17">
        <f>'Trading Report'!C48</f>
        <v>0</v>
      </c>
      <c r="D47" s="17">
        <f>'Trading Report'!D48</f>
        <v>0</v>
      </c>
      <c r="E47" s="17">
        <f>MQ!AD48</f>
        <v>0</v>
      </c>
      <c r="F47" s="63">
        <f t="shared" si="3"/>
        <v>0</v>
      </c>
      <c r="G47" s="63">
        <f t="shared" si="0"/>
        <v>0</v>
      </c>
      <c r="H47" s="63">
        <f t="shared" si="1"/>
        <v>0</v>
      </c>
      <c r="I47" s="14" t="e">
        <f t="shared" si="2"/>
        <v>#DIV/0!</v>
      </c>
      <c r="N47" s="124" t="s">
        <v>515</v>
      </c>
      <c r="O47" s="105">
        <v>0.15972222222222199</v>
      </c>
      <c r="P47" s="104">
        <v>0</v>
      </c>
    </row>
    <row r="48" spans="1:16">
      <c r="A48" s="292"/>
      <c r="B48" s="8">
        <v>0.163194444444444</v>
      </c>
      <c r="C48" s="17">
        <f>'Trading Report'!C49</f>
        <v>0</v>
      </c>
      <c r="D48" s="17">
        <f>'Trading Report'!D49</f>
        <v>0</v>
      </c>
      <c r="E48" s="17">
        <f>MQ!AD49</f>
        <v>0</v>
      </c>
      <c r="F48" s="63">
        <f t="shared" si="3"/>
        <v>0</v>
      </c>
      <c r="G48" s="63">
        <f t="shared" si="0"/>
        <v>0</v>
      </c>
      <c r="H48" s="63">
        <f t="shared" si="1"/>
        <v>0</v>
      </c>
      <c r="I48" s="14" t="e">
        <f t="shared" si="2"/>
        <v>#DIV/0!</v>
      </c>
      <c r="N48" s="124" t="s">
        <v>516</v>
      </c>
      <c r="O48" s="105">
        <v>0.163194444444444</v>
      </c>
      <c r="P48" s="104">
        <v>0</v>
      </c>
    </row>
    <row r="49" spans="1:16">
      <c r="A49" s="292"/>
      <c r="B49" s="8">
        <v>0.16666666666666599</v>
      </c>
      <c r="C49" s="17">
        <f>'Trading Report'!C50</f>
        <v>0</v>
      </c>
      <c r="D49" s="17">
        <f>'Trading Report'!D50</f>
        <v>0</v>
      </c>
      <c r="E49" s="17">
        <f>MQ!AD50</f>
        <v>0</v>
      </c>
      <c r="F49" s="63">
        <f t="shared" si="3"/>
        <v>0</v>
      </c>
      <c r="G49" s="63">
        <f t="shared" si="0"/>
        <v>0</v>
      </c>
      <c r="H49" s="63">
        <f t="shared" si="1"/>
        <v>0</v>
      </c>
      <c r="I49" s="14" t="e">
        <f t="shared" si="2"/>
        <v>#DIV/0!</v>
      </c>
      <c r="N49" s="124" t="s">
        <v>517</v>
      </c>
      <c r="O49" s="105">
        <v>0.16666666666666599</v>
      </c>
      <c r="P49" s="104">
        <v>0</v>
      </c>
    </row>
    <row r="50" spans="1:16">
      <c r="A50" s="292" t="s">
        <v>6</v>
      </c>
      <c r="B50" s="8">
        <v>0.17013888888888901</v>
      </c>
      <c r="C50" s="17">
        <f>'Trading Report'!C51</f>
        <v>0</v>
      </c>
      <c r="D50" s="17">
        <f>'Trading Report'!D51</f>
        <v>0</v>
      </c>
      <c r="E50" s="17">
        <f>MQ!AD51</f>
        <v>0</v>
      </c>
      <c r="F50" s="63">
        <f t="shared" si="3"/>
        <v>0</v>
      </c>
      <c r="G50" s="63">
        <f t="shared" si="0"/>
        <v>0</v>
      </c>
      <c r="H50" s="63">
        <f t="shared" si="1"/>
        <v>0</v>
      </c>
      <c r="I50" s="14" t="e">
        <f t="shared" si="2"/>
        <v>#DIV/0!</v>
      </c>
      <c r="N50" s="124" t="s">
        <v>518</v>
      </c>
      <c r="O50" s="105">
        <v>0.17013888888888901</v>
      </c>
      <c r="P50" s="104">
        <v>0</v>
      </c>
    </row>
    <row r="51" spans="1:16">
      <c r="A51" s="292"/>
      <c r="B51" s="8">
        <v>0.17361111111111099</v>
      </c>
      <c r="C51" s="17">
        <f>'Trading Report'!C52</f>
        <v>0</v>
      </c>
      <c r="D51" s="17">
        <f>'Trading Report'!D52</f>
        <v>0</v>
      </c>
      <c r="E51" s="17">
        <f>MQ!AD52</f>
        <v>0</v>
      </c>
      <c r="F51" s="63">
        <f t="shared" si="3"/>
        <v>0</v>
      </c>
      <c r="G51" s="63">
        <f t="shared" si="0"/>
        <v>0</v>
      </c>
      <c r="H51" s="63">
        <f t="shared" si="1"/>
        <v>0</v>
      </c>
      <c r="I51" s="14" t="e">
        <f t="shared" si="2"/>
        <v>#DIV/0!</v>
      </c>
      <c r="N51" s="124" t="s">
        <v>519</v>
      </c>
      <c r="O51" s="105">
        <v>0.17361111111111099</v>
      </c>
      <c r="P51" s="104">
        <v>0</v>
      </c>
    </row>
    <row r="52" spans="1:16">
      <c r="A52" s="292"/>
      <c r="B52" s="8">
        <v>0.17708333333333301</v>
      </c>
      <c r="C52" s="17">
        <f>'Trading Report'!C53</f>
        <v>0</v>
      </c>
      <c r="D52" s="17">
        <f>'Trading Report'!D53</f>
        <v>0</v>
      </c>
      <c r="E52" s="17">
        <f>MQ!AD53</f>
        <v>0</v>
      </c>
      <c r="F52" s="63">
        <f t="shared" si="3"/>
        <v>0</v>
      </c>
      <c r="G52" s="63">
        <f t="shared" si="0"/>
        <v>0</v>
      </c>
      <c r="H52" s="63">
        <f t="shared" si="1"/>
        <v>0</v>
      </c>
      <c r="I52" s="14" t="e">
        <f t="shared" si="2"/>
        <v>#DIV/0!</v>
      </c>
      <c r="N52" s="124" t="s">
        <v>520</v>
      </c>
      <c r="O52" s="105">
        <v>0.17708333333333301</v>
      </c>
      <c r="P52" s="104">
        <v>0</v>
      </c>
    </row>
    <row r="53" spans="1:16">
      <c r="A53" s="292"/>
      <c r="B53" s="8">
        <v>0.180555555555555</v>
      </c>
      <c r="C53" s="17">
        <f>'Trading Report'!C54</f>
        <v>0</v>
      </c>
      <c r="D53" s="17">
        <f>'Trading Report'!D54</f>
        <v>0</v>
      </c>
      <c r="E53" s="17">
        <f>MQ!AD54</f>
        <v>0</v>
      </c>
      <c r="F53" s="63">
        <f t="shared" si="3"/>
        <v>0</v>
      </c>
      <c r="G53" s="63">
        <f t="shared" si="0"/>
        <v>0</v>
      </c>
      <c r="H53" s="63">
        <f t="shared" si="1"/>
        <v>0</v>
      </c>
      <c r="I53" s="14" t="e">
        <f t="shared" si="2"/>
        <v>#DIV/0!</v>
      </c>
      <c r="N53" s="124" t="s">
        <v>521</v>
      </c>
      <c r="O53" s="105">
        <v>0.180555555555555</v>
      </c>
      <c r="P53" s="104">
        <v>0</v>
      </c>
    </row>
    <row r="54" spans="1:16">
      <c r="A54" s="292"/>
      <c r="B54" s="8">
        <v>0.18402777777777801</v>
      </c>
      <c r="C54" s="17">
        <f>'Trading Report'!C55</f>
        <v>0</v>
      </c>
      <c r="D54" s="17">
        <f>'Trading Report'!D55</f>
        <v>0</v>
      </c>
      <c r="E54" s="17">
        <f>MQ!AD55</f>
        <v>0</v>
      </c>
      <c r="F54" s="63">
        <f t="shared" si="3"/>
        <v>0</v>
      </c>
      <c r="G54" s="63">
        <f t="shared" si="0"/>
        <v>0</v>
      </c>
      <c r="H54" s="63">
        <f t="shared" si="1"/>
        <v>0</v>
      </c>
      <c r="I54" s="14" t="e">
        <f t="shared" si="2"/>
        <v>#DIV/0!</v>
      </c>
      <c r="N54" s="124" t="s">
        <v>522</v>
      </c>
      <c r="O54" s="105">
        <v>0.18402777777777801</v>
      </c>
      <c r="P54" s="104">
        <v>0</v>
      </c>
    </row>
    <row r="55" spans="1:16">
      <c r="A55" s="292"/>
      <c r="B55" s="8">
        <v>0.1875</v>
      </c>
      <c r="C55" s="17">
        <f>'Trading Report'!C56</f>
        <v>0</v>
      </c>
      <c r="D55" s="17">
        <f>'Trading Report'!D56</f>
        <v>0</v>
      </c>
      <c r="E55" s="17">
        <f>MQ!AD56</f>
        <v>0</v>
      </c>
      <c r="F55" s="63">
        <f t="shared" si="3"/>
        <v>0</v>
      </c>
      <c r="G55" s="63">
        <f t="shared" si="0"/>
        <v>0</v>
      </c>
      <c r="H55" s="63">
        <f t="shared" si="1"/>
        <v>0</v>
      </c>
      <c r="I55" s="14" t="e">
        <f t="shared" si="2"/>
        <v>#DIV/0!</v>
      </c>
      <c r="N55" s="124" t="s">
        <v>523</v>
      </c>
      <c r="O55" s="105">
        <v>0.1875</v>
      </c>
      <c r="P55" s="104">
        <v>0</v>
      </c>
    </row>
    <row r="56" spans="1:16">
      <c r="A56" s="292"/>
      <c r="B56" s="8">
        <v>0.19097222222222199</v>
      </c>
      <c r="C56" s="17">
        <f>'Trading Report'!C57</f>
        <v>0</v>
      </c>
      <c r="D56" s="17">
        <f>'Trading Report'!D57</f>
        <v>0</v>
      </c>
      <c r="E56" s="17">
        <f>MQ!AD57</f>
        <v>0</v>
      </c>
      <c r="F56" s="63">
        <f t="shared" si="3"/>
        <v>0</v>
      </c>
      <c r="G56" s="63">
        <f t="shared" si="0"/>
        <v>0</v>
      </c>
      <c r="H56" s="63">
        <f t="shared" si="1"/>
        <v>0</v>
      </c>
      <c r="I56" s="14" t="e">
        <f t="shared" si="2"/>
        <v>#DIV/0!</v>
      </c>
      <c r="N56" s="124" t="s">
        <v>524</v>
      </c>
      <c r="O56" s="105">
        <v>0.19097222222222199</v>
      </c>
      <c r="P56" s="104">
        <v>0</v>
      </c>
    </row>
    <row r="57" spans="1:16">
      <c r="A57" s="292"/>
      <c r="B57" s="8">
        <v>0.194444444444444</v>
      </c>
      <c r="C57" s="17">
        <f>'Trading Report'!C58</f>
        <v>0</v>
      </c>
      <c r="D57" s="17">
        <f>'Trading Report'!D58</f>
        <v>0</v>
      </c>
      <c r="E57" s="17">
        <f>MQ!AD58</f>
        <v>0</v>
      </c>
      <c r="F57" s="63">
        <f t="shared" si="3"/>
        <v>0</v>
      </c>
      <c r="G57" s="63">
        <f t="shared" si="0"/>
        <v>0</v>
      </c>
      <c r="H57" s="63">
        <f t="shared" si="1"/>
        <v>0</v>
      </c>
      <c r="I57" s="14" t="e">
        <f t="shared" si="2"/>
        <v>#DIV/0!</v>
      </c>
      <c r="N57" s="124" t="s">
        <v>525</v>
      </c>
      <c r="O57" s="105">
        <v>0.194444444444444</v>
      </c>
      <c r="P57" s="104">
        <v>0</v>
      </c>
    </row>
    <row r="58" spans="1:16">
      <c r="A58" s="292"/>
      <c r="B58" s="8">
        <v>0.19791666666666599</v>
      </c>
      <c r="C58" s="17">
        <f>'Trading Report'!C59</f>
        <v>0</v>
      </c>
      <c r="D58" s="17">
        <f>'Trading Report'!D59</f>
        <v>0</v>
      </c>
      <c r="E58" s="17">
        <f>MQ!AD59</f>
        <v>0</v>
      </c>
      <c r="F58" s="63">
        <f t="shared" si="3"/>
        <v>0</v>
      </c>
      <c r="G58" s="63">
        <f t="shared" si="0"/>
        <v>0</v>
      </c>
      <c r="H58" s="63">
        <f t="shared" si="1"/>
        <v>0</v>
      </c>
      <c r="I58" s="14" t="e">
        <f t="shared" si="2"/>
        <v>#DIV/0!</v>
      </c>
      <c r="N58" s="124" t="s">
        <v>526</v>
      </c>
      <c r="O58" s="105">
        <v>0.19791666666666599</v>
      </c>
      <c r="P58" s="104">
        <v>0</v>
      </c>
    </row>
    <row r="59" spans="1:16">
      <c r="A59" s="292"/>
      <c r="B59" s="8">
        <v>0.20138888888888901</v>
      </c>
      <c r="C59" s="17">
        <f>'Trading Report'!C60</f>
        <v>0</v>
      </c>
      <c r="D59" s="17">
        <f>'Trading Report'!D60</f>
        <v>0</v>
      </c>
      <c r="E59" s="17">
        <f>MQ!AD60</f>
        <v>0</v>
      </c>
      <c r="F59" s="63">
        <f t="shared" si="3"/>
        <v>0</v>
      </c>
      <c r="G59" s="63">
        <f t="shared" si="0"/>
        <v>0</v>
      </c>
      <c r="H59" s="63">
        <f t="shared" si="1"/>
        <v>0</v>
      </c>
      <c r="I59" s="14" t="e">
        <f t="shared" si="2"/>
        <v>#DIV/0!</v>
      </c>
      <c r="N59" s="124" t="s">
        <v>527</v>
      </c>
      <c r="O59" s="105">
        <v>0.20138888888888901</v>
      </c>
      <c r="P59" s="104">
        <v>0</v>
      </c>
    </row>
    <row r="60" spans="1:16">
      <c r="A60" s="292"/>
      <c r="B60" s="8">
        <v>0.20486111111111099</v>
      </c>
      <c r="C60" s="17">
        <f>'Trading Report'!C61</f>
        <v>0</v>
      </c>
      <c r="D60" s="17">
        <f>'Trading Report'!D61</f>
        <v>0</v>
      </c>
      <c r="E60" s="17">
        <f>MQ!AD61</f>
        <v>0</v>
      </c>
      <c r="F60" s="63">
        <f t="shared" si="3"/>
        <v>0</v>
      </c>
      <c r="G60" s="63">
        <f t="shared" si="0"/>
        <v>0</v>
      </c>
      <c r="H60" s="63">
        <f t="shared" si="1"/>
        <v>0</v>
      </c>
      <c r="I60" s="14" t="e">
        <f t="shared" si="2"/>
        <v>#DIV/0!</v>
      </c>
      <c r="N60" s="124" t="s">
        <v>528</v>
      </c>
      <c r="O60" s="105">
        <v>0.20486111111111099</v>
      </c>
      <c r="P60" s="104">
        <v>0</v>
      </c>
    </row>
    <row r="61" spans="1:16">
      <c r="A61" s="292"/>
      <c r="B61" s="8">
        <v>0.20833333333333301</v>
      </c>
      <c r="C61" s="17">
        <f>'Trading Report'!C62</f>
        <v>0</v>
      </c>
      <c r="D61" s="17">
        <f>'Trading Report'!D62</f>
        <v>0</v>
      </c>
      <c r="E61" s="17">
        <f>MQ!AD62</f>
        <v>0</v>
      </c>
      <c r="F61" s="63">
        <f t="shared" si="3"/>
        <v>0</v>
      </c>
      <c r="G61" s="63">
        <f t="shared" si="0"/>
        <v>0</v>
      </c>
      <c r="H61" s="63">
        <f t="shared" si="1"/>
        <v>0</v>
      </c>
      <c r="I61" s="14" t="e">
        <f t="shared" si="2"/>
        <v>#DIV/0!</v>
      </c>
      <c r="N61" s="124" t="s">
        <v>529</v>
      </c>
      <c r="O61" s="105">
        <v>0.20833333333333301</v>
      </c>
      <c r="P61" s="104">
        <v>0</v>
      </c>
    </row>
    <row r="62" spans="1:16">
      <c r="A62" s="292" t="s">
        <v>7</v>
      </c>
      <c r="B62" s="8">
        <v>0.211805555555555</v>
      </c>
      <c r="C62" s="17">
        <f>'Trading Report'!C63</f>
        <v>0</v>
      </c>
      <c r="D62" s="17">
        <f>'Trading Report'!D63</f>
        <v>0</v>
      </c>
      <c r="E62" s="17">
        <f>MQ!AD63</f>
        <v>0</v>
      </c>
      <c r="F62" s="63">
        <f t="shared" si="3"/>
        <v>0</v>
      </c>
      <c r="G62" s="63">
        <f t="shared" si="0"/>
        <v>0</v>
      </c>
      <c r="H62" s="63">
        <f t="shared" si="1"/>
        <v>0</v>
      </c>
      <c r="I62" s="14" t="e">
        <f t="shared" si="2"/>
        <v>#DIV/0!</v>
      </c>
      <c r="N62" s="124" t="s">
        <v>530</v>
      </c>
      <c r="O62" s="105">
        <v>0.211805555555555</v>
      </c>
      <c r="P62" s="104">
        <v>0</v>
      </c>
    </row>
    <row r="63" spans="1:16">
      <c r="A63" s="292"/>
      <c r="B63" s="8">
        <v>0.21527777777777801</v>
      </c>
      <c r="C63" s="17">
        <f>'Trading Report'!C64</f>
        <v>0</v>
      </c>
      <c r="D63" s="17">
        <f>'Trading Report'!D64</f>
        <v>0</v>
      </c>
      <c r="E63" s="17">
        <f>MQ!AD64</f>
        <v>0</v>
      </c>
      <c r="F63" s="63">
        <f t="shared" si="3"/>
        <v>0</v>
      </c>
      <c r="G63" s="63">
        <f t="shared" si="0"/>
        <v>0</v>
      </c>
      <c r="H63" s="63">
        <f t="shared" si="1"/>
        <v>0</v>
      </c>
      <c r="I63" s="14" t="e">
        <f t="shared" si="2"/>
        <v>#DIV/0!</v>
      </c>
      <c r="N63" s="124" t="s">
        <v>531</v>
      </c>
      <c r="O63" s="105">
        <v>0.21527777777777801</v>
      </c>
      <c r="P63" s="104">
        <v>0</v>
      </c>
    </row>
    <row r="64" spans="1:16">
      <c r="A64" s="292"/>
      <c r="B64" s="8">
        <v>0.21875</v>
      </c>
      <c r="C64" s="17">
        <f>'Trading Report'!C65</f>
        <v>0</v>
      </c>
      <c r="D64" s="17">
        <f>'Trading Report'!D65</f>
        <v>0</v>
      </c>
      <c r="E64" s="17">
        <f>MQ!AD65</f>
        <v>0</v>
      </c>
      <c r="F64" s="63">
        <f t="shared" si="3"/>
        <v>0</v>
      </c>
      <c r="G64" s="63">
        <f t="shared" si="0"/>
        <v>0</v>
      </c>
      <c r="H64" s="63">
        <f t="shared" si="1"/>
        <v>0</v>
      </c>
      <c r="I64" s="14" t="e">
        <f t="shared" si="2"/>
        <v>#DIV/0!</v>
      </c>
      <c r="N64" s="124" t="s">
        <v>532</v>
      </c>
      <c r="O64" s="105">
        <v>0.21875</v>
      </c>
      <c r="P64" s="104">
        <v>0</v>
      </c>
    </row>
    <row r="65" spans="1:16">
      <c r="A65" s="292"/>
      <c r="B65" s="8">
        <v>0.22222222222222199</v>
      </c>
      <c r="C65" s="17">
        <f>'Trading Report'!C66</f>
        <v>0</v>
      </c>
      <c r="D65" s="17">
        <f>'Trading Report'!D66</f>
        <v>0</v>
      </c>
      <c r="E65" s="17">
        <f>MQ!AD66</f>
        <v>0</v>
      </c>
      <c r="F65" s="63">
        <f t="shared" si="3"/>
        <v>0</v>
      </c>
      <c r="G65" s="63">
        <f t="shared" si="0"/>
        <v>0</v>
      </c>
      <c r="H65" s="63">
        <f t="shared" si="1"/>
        <v>0</v>
      </c>
      <c r="I65" s="14" t="e">
        <f t="shared" si="2"/>
        <v>#DIV/0!</v>
      </c>
      <c r="N65" s="124" t="s">
        <v>533</v>
      </c>
      <c r="O65" s="105">
        <v>0.22222222222222199</v>
      </c>
      <c r="P65" s="104">
        <v>0</v>
      </c>
    </row>
    <row r="66" spans="1:16">
      <c r="A66" s="292"/>
      <c r="B66" s="8">
        <v>0.225694444444444</v>
      </c>
      <c r="C66" s="17">
        <f>'Trading Report'!C67</f>
        <v>0</v>
      </c>
      <c r="D66" s="17">
        <f>'Trading Report'!D67</f>
        <v>0</v>
      </c>
      <c r="E66" s="17">
        <f>MQ!AD67</f>
        <v>0</v>
      </c>
      <c r="F66" s="63">
        <f t="shared" si="3"/>
        <v>0</v>
      </c>
      <c r="G66" s="63">
        <f t="shared" si="0"/>
        <v>0</v>
      </c>
      <c r="H66" s="63">
        <f t="shared" si="1"/>
        <v>0</v>
      </c>
      <c r="I66" s="14" t="e">
        <f t="shared" si="2"/>
        <v>#DIV/0!</v>
      </c>
      <c r="N66" s="124" t="s">
        <v>534</v>
      </c>
      <c r="O66" s="105">
        <v>0.225694444444444</v>
      </c>
      <c r="P66" s="104">
        <v>0</v>
      </c>
    </row>
    <row r="67" spans="1:16">
      <c r="A67" s="292"/>
      <c r="B67" s="8">
        <v>0.22916666666666599</v>
      </c>
      <c r="C67" s="17">
        <f>'Trading Report'!C68</f>
        <v>0</v>
      </c>
      <c r="D67" s="17">
        <f>'Trading Report'!D68</f>
        <v>0</v>
      </c>
      <c r="E67" s="17">
        <f>MQ!AD68</f>
        <v>0</v>
      </c>
      <c r="F67" s="63">
        <f t="shared" si="3"/>
        <v>0</v>
      </c>
      <c r="G67" s="63">
        <f t="shared" ref="G67:G130" si="4">(1/12)*((F67+C67)/2)</f>
        <v>0</v>
      </c>
      <c r="H67" s="63">
        <f t="shared" ref="H67:H130" si="5">MAX($E$2:$E$289)</f>
        <v>0</v>
      </c>
      <c r="I67" s="14" t="e">
        <f t="shared" ref="I67:I130" si="6">ABS((G67-E67)/H67)</f>
        <v>#DIV/0!</v>
      </c>
      <c r="N67" s="124" t="s">
        <v>535</v>
      </c>
      <c r="O67" s="105">
        <v>0.22916666666666599</v>
      </c>
      <c r="P67" s="104">
        <v>0</v>
      </c>
    </row>
    <row r="68" spans="1:16">
      <c r="A68" s="292"/>
      <c r="B68" s="8">
        <v>0.23263888888888901</v>
      </c>
      <c r="C68" s="17">
        <f>'Trading Report'!C69</f>
        <v>0</v>
      </c>
      <c r="D68" s="17">
        <f>'Trading Report'!D69</f>
        <v>0</v>
      </c>
      <c r="E68" s="17">
        <f>MQ!AD69</f>
        <v>0</v>
      </c>
      <c r="F68" s="63">
        <f t="shared" ref="F68:F131" si="7">C67</f>
        <v>0</v>
      </c>
      <c r="G68" s="63">
        <f t="shared" si="4"/>
        <v>0</v>
      </c>
      <c r="H68" s="63">
        <f t="shared" si="5"/>
        <v>0</v>
      </c>
      <c r="I68" s="14" t="e">
        <f t="shared" si="6"/>
        <v>#DIV/0!</v>
      </c>
      <c r="N68" s="124" t="s">
        <v>536</v>
      </c>
      <c r="O68" s="105">
        <v>0.23263888888888901</v>
      </c>
      <c r="P68" s="104">
        <v>0</v>
      </c>
    </row>
    <row r="69" spans="1:16">
      <c r="A69" s="292"/>
      <c r="B69" s="8">
        <v>0.23611111111111099</v>
      </c>
      <c r="C69" s="17">
        <f>'Trading Report'!C70</f>
        <v>0</v>
      </c>
      <c r="D69" s="17">
        <f>'Trading Report'!D70</f>
        <v>0</v>
      </c>
      <c r="E69" s="17">
        <f>MQ!AD70</f>
        <v>0</v>
      </c>
      <c r="F69" s="63">
        <f t="shared" si="7"/>
        <v>0</v>
      </c>
      <c r="G69" s="63">
        <f t="shared" si="4"/>
        <v>0</v>
      </c>
      <c r="H69" s="63">
        <f t="shared" si="5"/>
        <v>0</v>
      </c>
      <c r="I69" s="14" t="e">
        <f t="shared" si="6"/>
        <v>#DIV/0!</v>
      </c>
      <c r="N69" s="124" t="s">
        <v>537</v>
      </c>
      <c r="O69" s="105">
        <v>0.23611111111111099</v>
      </c>
      <c r="P69" s="104">
        <v>0</v>
      </c>
    </row>
    <row r="70" spans="1:16">
      <c r="A70" s="292"/>
      <c r="B70" s="8">
        <v>0.23958333333333301</v>
      </c>
      <c r="C70" s="17">
        <f>'Trading Report'!C71</f>
        <v>0</v>
      </c>
      <c r="D70" s="17">
        <f>'Trading Report'!D71</f>
        <v>0</v>
      </c>
      <c r="E70" s="17">
        <f>MQ!AD71</f>
        <v>0</v>
      </c>
      <c r="F70" s="63">
        <f t="shared" si="7"/>
        <v>0</v>
      </c>
      <c r="G70" s="63">
        <f t="shared" si="4"/>
        <v>0</v>
      </c>
      <c r="H70" s="63">
        <f t="shared" si="5"/>
        <v>0</v>
      </c>
      <c r="I70" s="14" t="e">
        <f t="shared" si="6"/>
        <v>#DIV/0!</v>
      </c>
      <c r="N70" s="124" t="s">
        <v>538</v>
      </c>
      <c r="O70" s="105">
        <v>0.23958333333333301</v>
      </c>
      <c r="P70" s="104">
        <v>0</v>
      </c>
    </row>
    <row r="71" spans="1:16">
      <c r="A71" s="292"/>
      <c r="B71" s="8">
        <v>0.243055555555555</v>
      </c>
      <c r="C71" s="17">
        <f>'Trading Report'!C72</f>
        <v>0</v>
      </c>
      <c r="D71" s="17">
        <f>'Trading Report'!D72</f>
        <v>0</v>
      </c>
      <c r="E71" s="17">
        <f>MQ!AD72</f>
        <v>0</v>
      </c>
      <c r="F71" s="63">
        <f t="shared" si="7"/>
        <v>0</v>
      </c>
      <c r="G71" s="63">
        <f t="shared" si="4"/>
        <v>0</v>
      </c>
      <c r="H71" s="63">
        <f t="shared" si="5"/>
        <v>0</v>
      </c>
      <c r="I71" s="14" t="e">
        <f t="shared" si="6"/>
        <v>#DIV/0!</v>
      </c>
      <c r="N71" s="124" t="s">
        <v>539</v>
      </c>
      <c r="O71" s="105">
        <v>0.243055555555555</v>
      </c>
      <c r="P71" s="104">
        <v>0</v>
      </c>
    </row>
    <row r="72" spans="1:16">
      <c r="A72" s="292"/>
      <c r="B72" s="8">
        <v>0.24652777777777801</v>
      </c>
      <c r="C72" s="17">
        <f>'Trading Report'!C73</f>
        <v>0</v>
      </c>
      <c r="D72" s="17">
        <f>'Trading Report'!D73</f>
        <v>0</v>
      </c>
      <c r="E72" s="17">
        <f>MQ!AD73</f>
        <v>0</v>
      </c>
      <c r="F72" s="63">
        <f t="shared" si="7"/>
        <v>0</v>
      </c>
      <c r="G72" s="63">
        <f t="shared" si="4"/>
        <v>0</v>
      </c>
      <c r="H72" s="63">
        <f t="shared" si="5"/>
        <v>0</v>
      </c>
      <c r="I72" s="14" t="e">
        <f t="shared" si="6"/>
        <v>#DIV/0!</v>
      </c>
      <c r="N72" s="124" t="s">
        <v>540</v>
      </c>
      <c r="O72" s="105">
        <v>0.24652777777777801</v>
      </c>
      <c r="P72" s="104">
        <v>0</v>
      </c>
    </row>
    <row r="73" spans="1:16">
      <c r="A73" s="292"/>
      <c r="B73" s="8">
        <v>0.25</v>
      </c>
      <c r="C73" s="17">
        <f>'Trading Report'!C74</f>
        <v>0</v>
      </c>
      <c r="D73" s="17">
        <f>'Trading Report'!D74</f>
        <v>0</v>
      </c>
      <c r="E73" s="17">
        <f>MQ!AD74</f>
        <v>0</v>
      </c>
      <c r="F73" s="63">
        <f t="shared" si="7"/>
        <v>0</v>
      </c>
      <c r="G73" s="63">
        <f t="shared" si="4"/>
        <v>0</v>
      </c>
      <c r="H73" s="63">
        <f t="shared" si="5"/>
        <v>0</v>
      </c>
      <c r="I73" s="14" t="e">
        <f t="shared" si="6"/>
        <v>#DIV/0!</v>
      </c>
      <c r="N73" s="124" t="s">
        <v>541</v>
      </c>
      <c r="O73" s="105">
        <v>0.25</v>
      </c>
      <c r="P73" s="104">
        <v>0</v>
      </c>
    </row>
    <row r="74" spans="1:16">
      <c r="A74" s="292" t="s">
        <v>8</v>
      </c>
      <c r="B74" s="8">
        <v>0.25347222222222199</v>
      </c>
      <c r="C74" s="17">
        <f>'Trading Report'!C75</f>
        <v>0</v>
      </c>
      <c r="D74" s="17">
        <f>'Trading Report'!D75</f>
        <v>0</v>
      </c>
      <c r="E74" s="17">
        <f>MQ!AD75</f>
        <v>0</v>
      </c>
      <c r="F74" s="63">
        <f t="shared" si="7"/>
        <v>0</v>
      </c>
      <c r="G74" s="63">
        <f t="shared" si="4"/>
        <v>0</v>
      </c>
      <c r="H74" s="63">
        <f t="shared" si="5"/>
        <v>0</v>
      </c>
      <c r="I74" s="14" t="e">
        <f t="shared" si="6"/>
        <v>#DIV/0!</v>
      </c>
      <c r="N74" s="124" t="s">
        <v>542</v>
      </c>
      <c r="O74" s="105">
        <v>0.6875</v>
      </c>
      <c r="P74" s="104">
        <v>0</v>
      </c>
    </row>
    <row r="75" spans="1:16">
      <c r="A75" s="292"/>
      <c r="B75" s="8">
        <v>0.25694444444444398</v>
      </c>
      <c r="C75" s="17">
        <f>'Trading Report'!C76</f>
        <v>0</v>
      </c>
      <c r="D75" s="17">
        <f>'Trading Report'!D76</f>
        <v>0</v>
      </c>
      <c r="E75" s="17">
        <f>MQ!AD76</f>
        <v>0</v>
      </c>
      <c r="F75" s="63">
        <f t="shared" si="7"/>
        <v>0</v>
      </c>
      <c r="G75" s="63">
        <f t="shared" si="4"/>
        <v>0</v>
      </c>
      <c r="H75" s="63">
        <f t="shared" si="5"/>
        <v>0</v>
      </c>
      <c r="I75" s="14" t="e">
        <f t="shared" si="6"/>
        <v>#DIV/0!</v>
      </c>
      <c r="N75" s="124" t="s">
        <v>543</v>
      </c>
      <c r="O75" s="105">
        <v>0.64583333333333304</v>
      </c>
      <c r="P75" s="104">
        <v>0</v>
      </c>
    </row>
    <row r="76" spans="1:16">
      <c r="A76" s="292"/>
      <c r="B76" s="8">
        <v>0.26041666666666602</v>
      </c>
      <c r="C76" s="17">
        <f>'Trading Report'!C77</f>
        <v>0</v>
      </c>
      <c r="D76" s="17">
        <f>'Trading Report'!D77</f>
        <v>0</v>
      </c>
      <c r="E76" s="17">
        <f>MQ!AD77</f>
        <v>0</v>
      </c>
      <c r="F76" s="63">
        <f t="shared" si="7"/>
        <v>0</v>
      </c>
      <c r="G76" s="63">
        <f t="shared" si="4"/>
        <v>0</v>
      </c>
      <c r="H76" s="63">
        <f t="shared" si="5"/>
        <v>0</v>
      </c>
      <c r="I76" s="14" t="e">
        <f t="shared" si="6"/>
        <v>#DIV/0!</v>
      </c>
      <c r="N76" s="124" t="s">
        <v>544</v>
      </c>
      <c r="O76" s="105">
        <v>0.29513888888888901</v>
      </c>
      <c r="P76" s="104">
        <v>0</v>
      </c>
    </row>
    <row r="77" spans="1:16">
      <c r="A77" s="292"/>
      <c r="B77" s="8">
        <v>0.26388888888888901</v>
      </c>
      <c r="C77" s="17">
        <f>'Trading Report'!C78</f>
        <v>0</v>
      </c>
      <c r="D77" s="17">
        <f>'Trading Report'!D78</f>
        <v>0</v>
      </c>
      <c r="E77" s="17">
        <f>MQ!AD78</f>
        <v>0</v>
      </c>
      <c r="F77" s="63">
        <f t="shared" si="7"/>
        <v>0</v>
      </c>
      <c r="G77" s="63">
        <f t="shared" si="4"/>
        <v>0</v>
      </c>
      <c r="H77" s="63">
        <f t="shared" si="5"/>
        <v>0</v>
      </c>
      <c r="I77" s="14" t="e">
        <f t="shared" si="6"/>
        <v>#DIV/0!</v>
      </c>
      <c r="N77" s="124" t="s">
        <v>545</v>
      </c>
      <c r="O77" s="105">
        <v>0.60416666666666596</v>
      </c>
      <c r="P77" s="104">
        <v>0</v>
      </c>
    </row>
    <row r="78" spans="1:16">
      <c r="A78" s="292"/>
      <c r="B78" s="8">
        <v>0.26736111111111099</v>
      </c>
      <c r="C78" s="17">
        <f>'Trading Report'!C79</f>
        <v>0</v>
      </c>
      <c r="D78" s="17">
        <f>'Trading Report'!D79</f>
        <v>0</v>
      </c>
      <c r="E78" s="17">
        <f>MQ!AD79</f>
        <v>0</v>
      </c>
      <c r="F78" s="63">
        <f t="shared" si="7"/>
        <v>0</v>
      </c>
      <c r="G78" s="63">
        <f t="shared" si="4"/>
        <v>0</v>
      </c>
      <c r="H78" s="63">
        <f t="shared" si="5"/>
        <v>0</v>
      </c>
      <c r="I78" s="14" t="e">
        <f t="shared" si="6"/>
        <v>#DIV/0!</v>
      </c>
      <c r="N78" s="124" t="s">
        <v>546</v>
      </c>
      <c r="O78" s="105">
        <v>0.44444444444444398</v>
      </c>
      <c r="P78" s="104">
        <v>0</v>
      </c>
    </row>
    <row r="79" spans="1:16">
      <c r="A79" s="292"/>
      <c r="B79" s="8">
        <v>0.27083333333333298</v>
      </c>
      <c r="C79" s="17">
        <f>'Trading Report'!C80</f>
        <v>0</v>
      </c>
      <c r="D79" s="17">
        <f>'Trading Report'!D80</f>
        <v>0</v>
      </c>
      <c r="E79" s="17">
        <f>MQ!AD80</f>
        <v>0</v>
      </c>
      <c r="F79" s="63">
        <f t="shared" si="7"/>
        <v>0</v>
      </c>
      <c r="G79" s="63">
        <f t="shared" si="4"/>
        <v>0</v>
      </c>
      <c r="H79" s="63">
        <f t="shared" si="5"/>
        <v>0</v>
      </c>
      <c r="I79" s="14" t="e">
        <f t="shared" si="6"/>
        <v>#DIV/0!</v>
      </c>
      <c r="N79" s="124" t="s">
        <v>547</v>
      </c>
      <c r="O79" s="105">
        <v>0.32291666666666602</v>
      </c>
      <c r="P79" s="104">
        <v>0</v>
      </c>
    </row>
    <row r="80" spans="1:16">
      <c r="A80" s="292"/>
      <c r="B80" s="8">
        <v>0.27430555555555503</v>
      </c>
      <c r="C80" s="17">
        <f>'Trading Report'!C81</f>
        <v>0</v>
      </c>
      <c r="D80" s="17">
        <f>'Trading Report'!D81</f>
        <v>0</v>
      </c>
      <c r="E80" s="17">
        <f>MQ!AD81</f>
        <v>0</v>
      </c>
      <c r="F80" s="63">
        <f t="shared" si="7"/>
        <v>0</v>
      </c>
      <c r="G80" s="63">
        <f t="shared" si="4"/>
        <v>0</v>
      </c>
      <c r="H80" s="63">
        <f t="shared" si="5"/>
        <v>0</v>
      </c>
      <c r="I80" s="14" t="e">
        <f t="shared" si="6"/>
        <v>#DIV/0!</v>
      </c>
      <c r="N80" s="124" t="s">
        <v>548</v>
      </c>
      <c r="O80" s="105">
        <v>0.71527777777777701</v>
      </c>
      <c r="P80" s="104">
        <v>0</v>
      </c>
    </row>
    <row r="81" spans="1:16">
      <c r="A81" s="292"/>
      <c r="B81" s="8">
        <v>0.27777777777777801</v>
      </c>
      <c r="C81" s="17">
        <f>'Trading Report'!C82</f>
        <v>0</v>
      </c>
      <c r="D81" s="17">
        <f>'Trading Report'!D82</f>
        <v>0</v>
      </c>
      <c r="E81" s="17">
        <f>MQ!AD82</f>
        <v>0</v>
      </c>
      <c r="F81" s="63">
        <f t="shared" si="7"/>
        <v>0</v>
      </c>
      <c r="G81" s="63">
        <f t="shared" si="4"/>
        <v>0</v>
      </c>
      <c r="H81" s="63">
        <f t="shared" si="5"/>
        <v>0</v>
      </c>
      <c r="I81" s="14" t="e">
        <f t="shared" si="6"/>
        <v>#DIV/0!</v>
      </c>
      <c r="N81" s="124" t="s">
        <v>549</v>
      </c>
      <c r="O81" s="105">
        <v>0.57291666666666596</v>
      </c>
      <c r="P81" s="104">
        <v>0</v>
      </c>
    </row>
    <row r="82" spans="1:16">
      <c r="A82" s="292"/>
      <c r="B82" s="8">
        <v>0.28125</v>
      </c>
      <c r="C82" s="17">
        <f>'Trading Report'!C83</f>
        <v>0</v>
      </c>
      <c r="D82" s="17">
        <f>'Trading Report'!D83</f>
        <v>0</v>
      </c>
      <c r="E82" s="17">
        <f>MQ!AD83</f>
        <v>0</v>
      </c>
      <c r="F82" s="63">
        <f t="shared" si="7"/>
        <v>0</v>
      </c>
      <c r="G82" s="63">
        <f t="shared" si="4"/>
        <v>0</v>
      </c>
      <c r="H82" s="63">
        <f t="shared" si="5"/>
        <v>0</v>
      </c>
      <c r="I82" s="14" t="e">
        <f t="shared" si="6"/>
        <v>#DIV/0!</v>
      </c>
      <c r="N82" s="124" t="s">
        <v>550</v>
      </c>
      <c r="O82" s="105">
        <v>0.70138888888888895</v>
      </c>
      <c r="P82" s="104">
        <v>0</v>
      </c>
    </row>
    <row r="83" spans="1:16">
      <c r="A83" s="292"/>
      <c r="B83" s="8">
        <v>0.28472222222222199</v>
      </c>
      <c r="C83" s="17">
        <f>'Trading Report'!C84</f>
        <v>0</v>
      </c>
      <c r="D83" s="17">
        <f>'Trading Report'!D84</f>
        <v>0</v>
      </c>
      <c r="E83" s="17">
        <f>MQ!AD84</f>
        <v>0</v>
      </c>
      <c r="F83" s="63">
        <f t="shared" si="7"/>
        <v>0</v>
      </c>
      <c r="G83" s="63">
        <f t="shared" si="4"/>
        <v>0</v>
      </c>
      <c r="H83" s="63">
        <f t="shared" si="5"/>
        <v>0</v>
      </c>
      <c r="I83" s="14" t="e">
        <f t="shared" si="6"/>
        <v>#DIV/0!</v>
      </c>
      <c r="N83" s="124" t="s">
        <v>551</v>
      </c>
      <c r="O83" s="105">
        <v>0.66319444444444398</v>
      </c>
      <c r="P83" s="104">
        <v>0</v>
      </c>
    </row>
    <row r="84" spans="1:16">
      <c r="A84" s="292"/>
      <c r="B84" s="8">
        <v>0.28819444444444398</v>
      </c>
      <c r="C84" s="17">
        <f>'Trading Report'!C85</f>
        <v>0</v>
      </c>
      <c r="D84" s="17">
        <f>'Trading Report'!D85</f>
        <v>0</v>
      </c>
      <c r="E84" s="17">
        <f>MQ!AD85</f>
        <v>0</v>
      </c>
      <c r="F84" s="63">
        <f t="shared" si="7"/>
        <v>0</v>
      </c>
      <c r="G84" s="63">
        <f t="shared" si="4"/>
        <v>0</v>
      </c>
      <c r="H84" s="63">
        <f t="shared" si="5"/>
        <v>0</v>
      </c>
      <c r="I84" s="14" t="e">
        <f t="shared" si="6"/>
        <v>#DIV/0!</v>
      </c>
      <c r="N84" s="124" t="s">
        <v>552</v>
      </c>
      <c r="O84" s="105">
        <v>0.54513888888888895</v>
      </c>
      <c r="P84" s="104">
        <v>0</v>
      </c>
    </row>
    <row r="85" spans="1:16">
      <c r="A85" s="292"/>
      <c r="B85" s="8">
        <v>0.29166666666666602</v>
      </c>
      <c r="C85" s="17">
        <f>'Trading Report'!C86</f>
        <v>0</v>
      </c>
      <c r="D85" s="17">
        <f>'Trading Report'!D86</f>
        <v>0</v>
      </c>
      <c r="E85" s="17">
        <f>MQ!AD86</f>
        <v>0</v>
      </c>
      <c r="F85" s="63">
        <f t="shared" si="7"/>
        <v>0</v>
      </c>
      <c r="G85" s="63">
        <f t="shared" si="4"/>
        <v>0</v>
      </c>
      <c r="H85" s="63">
        <f t="shared" si="5"/>
        <v>0</v>
      </c>
      <c r="I85" s="14" t="e">
        <f t="shared" si="6"/>
        <v>#DIV/0!</v>
      </c>
      <c r="N85" s="124" t="s">
        <v>553</v>
      </c>
      <c r="O85" s="105">
        <v>0.44791666666666602</v>
      </c>
      <c r="P85" s="104">
        <v>0</v>
      </c>
    </row>
    <row r="86" spans="1:16">
      <c r="A86" s="292" t="s">
        <v>9</v>
      </c>
      <c r="B86" s="8">
        <v>0.29513888888888901</v>
      </c>
      <c r="C86" s="17">
        <f>'Trading Report'!C87</f>
        <v>0</v>
      </c>
      <c r="D86" s="17">
        <f>'Trading Report'!D87</f>
        <v>0</v>
      </c>
      <c r="E86" s="17">
        <f>MQ!AD87</f>
        <v>0</v>
      </c>
      <c r="F86" s="63">
        <f t="shared" si="7"/>
        <v>0</v>
      </c>
      <c r="G86" s="63">
        <f t="shared" si="4"/>
        <v>0</v>
      </c>
      <c r="H86" s="63">
        <f t="shared" si="5"/>
        <v>0</v>
      </c>
      <c r="I86" s="14" t="e">
        <f t="shared" si="6"/>
        <v>#DIV/0!</v>
      </c>
      <c r="N86" s="124" t="s">
        <v>554</v>
      </c>
      <c r="O86" s="105">
        <v>0.60069444444444398</v>
      </c>
      <c r="P86" s="104">
        <v>0</v>
      </c>
    </row>
    <row r="87" spans="1:16">
      <c r="A87" s="292"/>
      <c r="B87" s="8">
        <v>0.29861111111111099</v>
      </c>
      <c r="C87" s="17">
        <f>'Trading Report'!C88</f>
        <v>0</v>
      </c>
      <c r="D87" s="17">
        <f>'Trading Report'!D88</f>
        <v>0</v>
      </c>
      <c r="E87" s="17">
        <f>MQ!AD88</f>
        <v>0</v>
      </c>
      <c r="F87" s="63">
        <f t="shared" si="7"/>
        <v>0</v>
      </c>
      <c r="G87" s="63">
        <f t="shared" si="4"/>
        <v>0</v>
      </c>
      <c r="H87" s="63">
        <f t="shared" si="5"/>
        <v>0</v>
      </c>
      <c r="I87" s="14" t="e">
        <f t="shared" si="6"/>
        <v>#DIV/0!</v>
      </c>
      <c r="N87" s="124" t="s">
        <v>555</v>
      </c>
      <c r="O87" s="105">
        <v>0.56944444444444398</v>
      </c>
      <c r="P87" s="104">
        <v>0</v>
      </c>
    </row>
    <row r="88" spans="1:16">
      <c r="A88" s="292"/>
      <c r="B88" s="8">
        <v>0.30208333333333298</v>
      </c>
      <c r="C88" s="17">
        <f>'Trading Report'!C89</f>
        <v>0</v>
      </c>
      <c r="D88" s="17">
        <f>'Trading Report'!D89</f>
        <v>0</v>
      </c>
      <c r="E88" s="17">
        <f>MQ!AD89</f>
        <v>0</v>
      </c>
      <c r="F88" s="63">
        <f t="shared" si="7"/>
        <v>0</v>
      </c>
      <c r="G88" s="63">
        <f t="shared" si="4"/>
        <v>0</v>
      </c>
      <c r="H88" s="63">
        <f t="shared" si="5"/>
        <v>0</v>
      </c>
      <c r="I88" s="14" t="e">
        <f t="shared" si="6"/>
        <v>#DIV/0!</v>
      </c>
      <c r="N88" s="124" t="s">
        <v>556</v>
      </c>
      <c r="O88" s="105">
        <v>0.58680555555555503</v>
      </c>
      <c r="P88" s="104">
        <v>0</v>
      </c>
    </row>
    <row r="89" spans="1:16">
      <c r="A89" s="292"/>
      <c r="B89" s="8">
        <v>0.30555555555555503</v>
      </c>
      <c r="C89" s="17">
        <f>'Trading Report'!C90</f>
        <v>0</v>
      </c>
      <c r="D89" s="17">
        <f>'Trading Report'!D90</f>
        <v>0</v>
      </c>
      <c r="E89" s="17">
        <f>MQ!AD90</f>
        <v>0</v>
      </c>
      <c r="F89" s="63">
        <f t="shared" si="7"/>
        <v>0</v>
      </c>
      <c r="G89" s="63">
        <f t="shared" si="4"/>
        <v>0</v>
      </c>
      <c r="H89" s="63">
        <f t="shared" si="5"/>
        <v>0</v>
      </c>
      <c r="I89" s="14" t="e">
        <f t="shared" si="6"/>
        <v>#DIV/0!</v>
      </c>
      <c r="N89" s="124" t="s">
        <v>557</v>
      </c>
      <c r="O89" s="105">
        <v>0.31944444444444398</v>
      </c>
      <c r="P89" s="104">
        <v>0</v>
      </c>
    </row>
    <row r="90" spans="1:16">
      <c r="A90" s="292"/>
      <c r="B90" s="8">
        <v>0.30902777777777801</v>
      </c>
      <c r="C90" s="17">
        <f>'Trading Report'!C91</f>
        <v>0</v>
      </c>
      <c r="D90" s="17">
        <f>'Trading Report'!D91</f>
        <v>0</v>
      </c>
      <c r="E90" s="17">
        <f>MQ!AD91</f>
        <v>0</v>
      </c>
      <c r="F90" s="63">
        <f t="shared" si="7"/>
        <v>0</v>
      </c>
      <c r="G90" s="63">
        <f t="shared" si="4"/>
        <v>0</v>
      </c>
      <c r="H90" s="63">
        <f t="shared" si="5"/>
        <v>0</v>
      </c>
      <c r="I90" s="14" t="e">
        <f t="shared" si="6"/>
        <v>#DIV/0!</v>
      </c>
      <c r="N90" s="124" t="s">
        <v>558</v>
      </c>
      <c r="O90" s="105">
        <v>0.64236111111111105</v>
      </c>
      <c r="P90" s="104">
        <v>0</v>
      </c>
    </row>
    <row r="91" spans="1:16">
      <c r="A91" s="292"/>
      <c r="B91" s="8">
        <v>0.3125</v>
      </c>
      <c r="C91" s="17">
        <f>'Trading Report'!C92</f>
        <v>0</v>
      </c>
      <c r="D91" s="17">
        <f>'Trading Report'!D92</f>
        <v>0</v>
      </c>
      <c r="E91" s="17">
        <f>MQ!AD92</f>
        <v>0</v>
      </c>
      <c r="F91" s="63">
        <f t="shared" si="7"/>
        <v>0</v>
      </c>
      <c r="G91" s="63">
        <f t="shared" si="4"/>
        <v>0</v>
      </c>
      <c r="H91" s="63">
        <f t="shared" si="5"/>
        <v>0</v>
      </c>
      <c r="I91" s="14" t="e">
        <f t="shared" si="6"/>
        <v>#DIV/0!</v>
      </c>
      <c r="N91" s="124" t="s">
        <v>559</v>
      </c>
      <c r="O91" s="105">
        <v>0.45138888888888901</v>
      </c>
      <c r="P91" s="104">
        <v>0</v>
      </c>
    </row>
    <row r="92" spans="1:16">
      <c r="A92" s="292"/>
      <c r="B92" s="8">
        <v>0.31597222222222199</v>
      </c>
      <c r="C92" s="17">
        <f>'Trading Report'!C93</f>
        <v>0</v>
      </c>
      <c r="D92" s="17">
        <f>'Trading Report'!D93</f>
        <v>0</v>
      </c>
      <c r="E92" s="17">
        <f>MQ!AD93</f>
        <v>0</v>
      </c>
      <c r="F92" s="63">
        <f t="shared" si="7"/>
        <v>0</v>
      </c>
      <c r="G92" s="63">
        <f t="shared" si="4"/>
        <v>0</v>
      </c>
      <c r="H92" s="63">
        <f t="shared" si="5"/>
        <v>0</v>
      </c>
      <c r="I92" s="14" t="e">
        <f t="shared" si="6"/>
        <v>#DIV/0!</v>
      </c>
      <c r="N92" s="124" t="s">
        <v>560</v>
      </c>
      <c r="O92" s="105">
        <v>0.56597222222222199</v>
      </c>
      <c r="P92" s="104">
        <v>0</v>
      </c>
    </row>
    <row r="93" spans="1:16">
      <c r="A93" s="292"/>
      <c r="B93" s="8">
        <v>0.31944444444444398</v>
      </c>
      <c r="C93" s="17">
        <f>'Trading Report'!C94</f>
        <v>0</v>
      </c>
      <c r="D93" s="17">
        <f>'Trading Report'!D94</f>
        <v>0</v>
      </c>
      <c r="E93" s="17">
        <f>MQ!AD94</f>
        <v>0</v>
      </c>
      <c r="F93" s="63">
        <f t="shared" si="7"/>
        <v>0</v>
      </c>
      <c r="G93" s="63">
        <f t="shared" si="4"/>
        <v>0</v>
      </c>
      <c r="H93" s="63">
        <f t="shared" si="5"/>
        <v>0</v>
      </c>
      <c r="I93" s="14" t="e">
        <f t="shared" si="6"/>
        <v>#DIV/0!</v>
      </c>
      <c r="N93" s="124" t="s">
        <v>561</v>
      </c>
      <c r="O93" s="105">
        <v>0.31597222222222199</v>
      </c>
      <c r="P93" s="104">
        <v>0</v>
      </c>
    </row>
    <row r="94" spans="1:16">
      <c r="A94" s="292"/>
      <c r="B94" s="8">
        <v>0.32291666666666602</v>
      </c>
      <c r="C94" s="17">
        <f>'Trading Report'!C95</f>
        <v>0</v>
      </c>
      <c r="D94" s="17">
        <f>'Trading Report'!D95</f>
        <v>0</v>
      </c>
      <c r="E94" s="17">
        <f>MQ!AD95</f>
        <v>0</v>
      </c>
      <c r="F94" s="63">
        <f t="shared" si="7"/>
        <v>0</v>
      </c>
      <c r="G94" s="63">
        <f t="shared" si="4"/>
        <v>0</v>
      </c>
      <c r="H94" s="63">
        <f t="shared" si="5"/>
        <v>0</v>
      </c>
      <c r="I94" s="14" t="e">
        <f t="shared" si="6"/>
        <v>#DIV/0!</v>
      </c>
      <c r="N94" s="124" t="s">
        <v>562</v>
      </c>
      <c r="O94" s="105">
        <v>0.59722222222222199</v>
      </c>
      <c r="P94" s="104">
        <v>0</v>
      </c>
    </row>
    <row r="95" spans="1:16">
      <c r="A95" s="292"/>
      <c r="B95" s="8">
        <v>0.32638888888888901</v>
      </c>
      <c r="C95" s="17">
        <f>'Trading Report'!C96</f>
        <v>0</v>
      </c>
      <c r="D95" s="17">
        <f>'Trading Report'!D96</f>
        <v>0</v>
      </c>
      <c r="E95" s="17">
        <f>MQ!AD96</f>
        <v>0</v>
      </c>
      <c r="F95" s="63">
        <f t="shared" si="7"/>
        <v>0</v>
      </c>
      <c r="G95" s="63">
        <f t="shared" si="4"/>
        <v>0</v>
      </c>
      <c r="H95" s="63">
        <f t="shared" si="5"/>
        <v>0</v>
      </c>
      <c r="I95" s="14" t="e">
        <f t="shared" si="6"/>
        <v>#DIV/0!</v>
      </c>
      <c r="N95" s="124" t="s">
        <v>563</v>
      </c>
      <c r="O95" s="105">
        <v>0.68402777777777701</v>
      </c>
      <c r="P95" s="104">
        <v>0</v>
      </c>
    </row>
    <row r="96" spans="1:16">
      <c r="A96" s="292"/>
      <c r="B96" s="8">
        <v>0.32986111111111099</v>
      </c>
      <c r="C96" s="17">
        <f>'Trading Report'!C97</f>
        <v>0</v>
      </c>
      <c r="D96" s="17">
        <f>'Trading Report'!D97</f>
        <v>0</v>
      </c>
      <c r="E96" s="17">
        <f>MQ!AD97</f>
        <v>0</v>
      </c>
      <c r="F96" s="63">
        <f t="shared" si="7"/>
        <v>0</v>
      </c>
      <c r="G96" s="63">
        <f t="shared" si="4"/>
        <v>0</v>
      </c>
      <c r="H96" s="63">
        <f t="shared" si="5"/>
        <v>0</v>
      </c>
      <c r="I96" s="14" t="e">
        <f t="shared" si="6"/>
        <v>#DIV/0!</v>
      </c>
      <c r="N96" s="124" t="s">
        <v>564</v>
      </c>
      <c r="O96" s="105">
        <v>0.45486111111111099</v>
      </c>
      <c r="P96" s="104">
        <v>0</v>
      </c>
    </row>
    <row r="97" spans="1:16">
      <c r="A97" s="292"/>
      <c r="B97" s="8">
        <v>0.33333333333333298</v>
      </c>
      <c r="C97" s="17">
        <f>'Trading Report'!C98</f>
        <v>0</v>
      </c>
      <c r="D97" s="17">
        <f>'Trading Report'!D98</f>
        <v>0</v>
      </c>
      <c r="E97" s="17">
        <f>MQ!AD98</f>
        <v>0</v>
      </c>
      <c r="F97" s="63">
        <f t="shared" si="7"/>
        <v>0</v>
      </c>
      <c r="G97" s="63">
        <f t="shared" si="4"/>
        <v>0</v>
      </c>
      <c r="H97" s="63">
        <f t="shared" si="5"/>
        <v>0</v>
      </c>
      <c r="I97" s="14" t="e">
        <f t="shared" si="6"/>
        <v>#DIV/0!</v>
      </c>
      <c r="N97" s="124" t="s">
        <v>565</v>
      </c>
      <c r="O97" s="105">
        <v>0.5625</v>
      </c>
      <c r="P97" s="104">
        <v>0</v>
      </c>
    </row>
    <row r="98" spans="1:16">
      <c r="A98" s="292" t="s">
        <v>10</v>
      </c>
      <c r="B98" s="8">
        <v>0.33680555555555503</v>
      </c>
      <c r="C98" s="17">
        <f>'Trading Report'!C99</f>
        <v>0</v>
      </c>
      <c r="D98" s="17">
        <f>'Trading Report'!D99</f>
        <v>0</v>
      </c>
      <c r="E98" s="17">
        <f>MQ!AD99</f>
        <v>0</v>
      </c>
      <c r="F98" s="63">
        <f t="shared" si="7"/>
        <v>0</v>
      </c>
      <c r="G98" s="63">
        <f t="shared" si="4"/>
        <v>0</v>
      </c>
      <c r="H98" s="63">
        <f t="shared" si="5"/>
        <v>0</v>
      </c>
      <c r="I98" s="14" t="e">
        <f t="shared" si="6"/>
        <v>#DIV/0!</v>
      </c>
      <c r="N98" s="124" t="s">
        <v>566</v>
      </c>
      <c r="O98" s="105">
        <v>0.70486111111111105</v>
      </c>
      <c r="P98" s="104">
        <v>0</v>
      </c>
    </row>
    <row r="99" spans="1:16">
      <c r="A99" s="292"/>
      <c r="B99" s="8">
        <v>0.34027777777777801</v>
      </c>
      <c r="C99" s="17">
        <f>'Trading Report'!C100</f>
        <v>0</v>
      </c>
      <c r="D99" s="17">
        <f>'Trading Report'!D100</f>
        <v>0</v>
      </c>
      <c r="E99" s="17">
        <f>MQ!AD100</f>
        <v>0</v>
      </c>
      <c r="F99" s="63">
        <f t="shared" si="7"/>
        <v>0</v>
      </c>
      <c r="G99" s="63">
        <f t="shared" si="4"/>
        <v>0</v>
      </c>
      <c r="H99" s="63">
        <f t="shared" si="5"/>
        <v>0</v>
      </c>
      <c r="I99" s="14" t="e">
        <f t="shared" si="6"/>
        <v>#DIV/0!</v>
      </c>
      <c r="N99" s="124" t="s">
        <v>567</v>
      </c>
      <c r="O99" s="105">
        <v>0.3125</v>
      </c>
      <c r="P99" s="104">
        <v>0</v>
      </c>
    </row>
    <row r="100" spans="1:16">
      <c r="A100" s="292"/>
      <c r="B100" s="8">
        <v>0.34375</v>
      </c>
      <c r="C100" s="17">
        <f>'Trading Report'!C101</f>
        <v>0</v>
      </c>
      <c r="D100" s="17">
        <f>'Trading Report'!D101</f>
        <v>0</v>
      </c>
      <c r="E100" s="17">
        <f>MQ!AD101</f>
        <v>0</v>
      </c>
      <c r="F100" s="63">
        <f t="shared" si="7"/>
        <v>0</v>
      </c>
      <c r="G100" s="63">
        <f t="shared" si="4"/>
        <v>0</v>
      </c>
      <c r="H100" s="63">
        <f t="shared" si="5"/>
        <v>0</v>
      </c>
      <c r="I100" s="14" t="e">
        <f t="shared" si="6"/>
        <v>#DIV/0!</v>
      </c>
      <c r="N100" s="124" t="s">
        <v>568</v>
      </c>
      <c r="O100" s="105">
        <v>0.63888888888888895</v>
      </c>
      <c r="P100" s="104">
        <v>0</v>
      </c>
    </row>
    <row r="101" spans="1:16">
      <c r="A101" s="292"/>
      <c r="B101" s="8">
        <v>0.34722222222222199</v>
      </c>
      <c r="C101" s="17">
        <f>'Trading Report'!C102</f>
        <v>0</v>
      </c>
      <c r="D101" s="17">
        <f>'Trading Report'!D102</f>
        <v>0</v>
      </c>
      <c r="E101" s="17">
        <f>MQ!AD102</f>
        <v>0</v>
      </c>
      <c r="F101" s="63">
        <f t="shared" si="7"/>
        <v>0</v>
      </c>
      <c r="G101" s="63">
        <f t="shared" si="4"/>
        <v>0</v>
      </c>
      <c r="H101" s="63">
        <f t="shared" si="5"/>
        <v>0</v>
      </c>
      <c r="I101" s="14" t="e">
        <f t="shared" si="6"/>
        <v>#DIV/0!</v>
      </c>
      <c r="N101" s="124" t="s">
        <v>569</v>
      </c>
      <c r="O101" s="105">
        <v>0.45833333333333298</v>
      </c>
      <c r="P101" s="104">
        <v>0</v>
      </c>
    </row>
    <row r="102" spans="1:16">
      <c r="A102" s="292"/>
      <c r="B102" s="8">
        <v>0.35069444444444398</v>
      </c>
      <c r="C102" s="17">
        <f>'Trading Report'!C103</f>
        <v>0</v>
      </c>
      <c r="D102" s="17">
        <f>'Trading Report'!D103</f>
        <v>0</v>
      </c>
      <c r="E102" s="17">
        <f>MQ!AD103</f>
        <v>0</v>
      </c>
      <c r="F102" s="63">
        <f t="shared" si="7"/>
        <v>0</v>
      </c>
      <c r="G102" s="63">
        <f t="shared" si="4"/>
        <v>0</v>
      </c>
      <c r="H102" s="63">
        <f t="shared" si="5"/>
        <v>0</v>
      </c>
      <c r="I102" s="14" t="e">
        <f t="shared" si="6"/>
        <v>#DIV/0!</v>
      </c>
      <c r="N102" s="124" t="s">
        <v>570</v>
      </c>
      <c r="O102" s="105">
        <v>0.66666666666666596</v>
      </c>
      <c r="P102" s="104">
        <v>0</v>
      </c>
    </row>
    <row r="103" spans="1:16">
      <c r="A103" s="292"/>
      <c r="B103" s="8">
        <v>0.35416666666666602</v>
      </c>
      <c r="C103" s="17">
        <f>'Trading Report'!C104</f>
        <v>0</v>
      </c>
      <c r="D103" s="17">
        <f>'Trading Report'!D104</f>
        <v>0</v>
      </c>
      <c r="E103" s="17">
        <f>MQ!AD104</f>
        <v>0</v>
      </c>
      <c r="F103" s="63">
        <f t="shared" si="7"/>
        <v>0</v>
      </c>
      <c r="G103" s="63">
        <f t="shared" si="4"/>
        <v>0</v>
      </c>
      <c r="H103" s="63">
        <f t="shared" si="5"/>
        <v>0</v>
      </c>
      <c r="I103" s="14" t="e">
        <f t="shared" si="6"/>
        <v>#DIV/0!</v>
      </c>
      <c r="N103" s="124" t="s">
        <v>571</v>
      </c>
      <c r="O103" s="105">
        <v>0.42013888888888901</v>
      </c>
      <c r="P103" s="104">
        <v>0</v>
      </c>
    </row>
    <row r="104" spans="1:16">
      <c r="A104" s="292"/>
      <c r="B104" s="8">
        <v>0.35763888888888901</v>
      </c>
      <c r="C104" s="17">
        <f>'Trading Report'!C105</f>
        <v>0</v>
      </c>
      <c r="D104" s="17">
        <f>'Trading Report'!D105</f>
        <v>0</v>
      </c>
      <c r="E104" s="17">
        <f>MQ!AD105</f>
        <v>0</v>
      </c>
      <c r="F104" s="63">
        <f t="shared" si="7"/>
        <v>0</v>
      </c>
      <c r="G104" s="63">
        <f t="shared" si="4"/>
        <v>0</v>
      </c>
      <c r="H104" s="63">
        <f t="shared" si="5"/>
        <v>0</v>
      </c>
      <c r="I104" s="14" t="e">
        <f t="shared" si="6"/>
        <v>#DIV/0!</v>
      </c>
      <c r="N104" s="124" t="s">
        <v>572</v>
      </c>
      <c r="O104" s="105">
        <v>0.39236111111111099</v>
      </c>
      <c r="P104" s="104">
        <v>0</v>
      </c>
    </row>
    <row r="105" spans="1:16">
      <c r="A105" s="292"/>
      <c r="B105" s="8">
        <v>0.36111111111111099</v>
      </c>
      <c r="C105" s="17">
        <f>'Trading Report'!C106</f>
        <v>0</v>
      </c>
      <c r="D105" s="17">
        <f>'Trading Report'!D106</f>
        <v>0</v>
      </c>
      <c r="E105" s="17">
        <f>MQ!AD106</f>
        <v>0</v>
      </c>
      <c r="F105" s="63">
        <f t="shared" si="7"/>
        <v>0</v>
      </c>
      <c r="G105" s="63">
        <f t="shared" si="4"/>
        <v>0</v>
      </c>
      <c r="H105" s="63">
        <f t="shared" si="5"/>
        <v>0</v>
      </c>
      <c r="I105" s="14" t="e">
        <f t="shared" si="6"/>
        <v>#DIV/0!</v>
      </c>
      <c r="N105" s="124" t="s">
        <v>573</v>
      </c>
      <c r="O105" s="105">
        <v>0.55902777777777801</v>
      </c>
      <c r="P105" s="104">
        <v>0</v>
      </c>
    </row>
    <row r="106" spans="1:16">
      <c r="A106" s="292"/>
      <c r="B106" s="8">
        <v>0.36458333333333298</v>
      </c>
      <c r="C106" s="17">
        <f>'Trading Report'!C107</f>
        <v>0</v>
      </c>
      <c r="D106" s="17">
        <f>'Trading Report'!D107</f>
        <v>0</v>
      </c>
      <c r="E106" s="17">
        <f>MQ!AD107</f>
        <v>0</v>
      </c>
      <c r="F106" s="63">
        <f t="shared" si="7"/>
        <v>0</v>
      </c>
      <c r="G106" s="63">
        <f t="shared" si="4"/>
        <v>0</v>
      </c>
      <c r="H106" s="63">
        <f t="shared" si="5"/>
        <v>0</v>
      </c>
      <c r="I106" s="14" t="e">
        <f t="shared" si="6"/>
        <v>#DIV/0!</v>
      </c>
      <c r="N106" s="124" t="s">
        <v>574</v>
      </c>
      <c r="O106" s="105">
        <v>0.30902777777777801</v>
      </c>
      <c r="P106" s="104">
        <v>0</v>
      </c>
    </row>
    <row r="107" spans="1:16">
      <c r="A107" s="292"/>
      <c r="B107" s="8">
        <v>0.36805555555555503</v>
      </c>
      <c r="C107" s="17">
        <f>'Trading Report'!C108</f>
        <v>0</v>
      </c>
      <c r="D107" s="17">
        <f>'Trading Report'!D108</f>
        <v>0</v>
      </c>
      <c r="E107" s="17">
        <f>MQ!AD108</f>
        <v>0</v>
      </c>
      <c r="F107" s="63">
        <f t="shared" si="7"/>
        <v>0</v>
      </c>
      <c r="G107" s="63">
        <f t="shared" si="4"/>
        <v>0</v>
      </c>
      <c r="H107" s="63">
        <f t="shared" si="5"/>
        <v>0</v>
      </c>
      <c r="I107" s="14" t="e">
        <f t="shared" si="6"/>
        <v>#DIV/0!</v>
      </c>
      <c r="N107" s="124" t="s">
        <v>575</v>
      </c>
      <c r="O107" s="105">
        <v>0.59375</v>
      </c>
      <c r="P107" s="104">
        <v>0</v>
      </c>
    </row>
    <row r="108" spans="1:16">
      <c r="A108" s="292"/>
      <c r="B108" s="8">
        <v>0.37152777777777801</v>
      </c>
      <c r="C108" s="17">
        <f>'Trading Report'!C109</f>
        <v>0</v>
      </c>
      <c r="D108" s="17">
        <f>'Trading Report'!D109</f>
        <v>0</v>
      </c>
      <c r="E108" s="17">
        <f>MQ!AD109</f>
        <v>0</v>
      </c>
      <c r="F108" s="63">
        <f t="shared" si="7"/>
        <v>0</v>
      </c>
      <c r="G108" s="63">
        <f t="shared" si="4"/>
        <v>0</v>
      </c>
      <c r="H108" s="63">
        <f t="shared" si="5"/>
        <v>0</v>
      </c>
      <c r="I108" s="14" t="e">
        <f t="shared" si="6"/>
        <v>#DIV/0!</v>
      </c>
      <c r="N108" s="124" t="s">
        <v>576</v>
      </c>
      <c r="O108" s="105">
        <v>0.55555555555555503</v>
      </c>
      <c r="P108" s="104">
        <v>0</v>
      </c>
    </row>
    <row r="109" spans="1:16">
      <c r="A109" s="292"/>
      <c r="B109" s="8">
        <v>0.375</v>
      </c>
      <c r="C109" s="17">
        <f>'Trading Report'!C110</f>
        <v>0</v>
      </c>
      <c r="D109" s="17">
        <f>'Trading Report'!D110</f>
        <v>0</v>
      </c>
      <c r="E109" s="17">
        <f>MQ!AD110</f>
        <v>0</v>
      </c>
      <c r="F109" s="63">
        <f t="shared" si="7"/>
        <v>0</v>
      </c>
      <c r="G109" s="63">
        <f t="shared" si="4"/>
        <v>0</v>
      </c>
      <c r="H109" s="63">
        <f t="shared" si="5"/>
        <v>0</v>
      </c>
      <c r="I109" s="14" t="e">
        <f t="shared" si="6"/>
        <v>#DIV/0!</v>
      </c>
      <c r="N109" s="124" t="s">
        <v>577</v>
      </c>
      <c r="O109" s="105">
        <v>0.30555555555555503</v>
      </c>
      <c r="P109" s="104">
        <v>0</v>
      </c>
    </row>
    <row r="110" spans="1:16">
      <c r="A110" s="292" t="s">
        <v>11</v>
      </c>
      <c r="B110" s="8">
        <v>0.37847222222222199</v>
      </c>
      <c r="C110" s="17">
        <f>'Trading Report'!C111</f>
        <v>0</v>
      </c>
      <c r="D110" s="17">
        <f>'Trading Report'!D111</f>
        <v>0</v>
      </c>
      <c r="E110" s="17">
        <f>MQ!AD111</f>
        <v>0</v>
      </c>
      <c r="F110" s="63">
        <f t="shared" si="7"/>
        <v>0</v>
      </c>
      <c r="G110" s="63">
        <f t="shared" si="4"/>
        <v>0</v>
      </c>
      <c r="H110" s="63">
        <f t="shared" si="5"/>
        <v>0</v>
      </c>
      <c r="I110" s="14" t="e">
        <f t="shared" si="6"/>
        <v>#DIV/0!</v>
      </c>
      <c r="N110" s="124" t="s">
        <v>578</v>
      </c>
      <c r="O110" s="105">
        <v>0.55208333333333304</v>
      </c>
      <c r="P110" s="104">
        <v>0</v>
      </c>
    </row>
    <row r="111" spans="1:16">
      <c r="A111" s="292"/>
      <c r="B111" s="8">
        <v>0.38194444444444398</v>
      </c>
      <c r="C111" s="17">
        <f>'Trading Report'!C112</f>
        <v>0</v>
      </c>
      <c r="D111" s="17">
        <f>'Trading Report'!D112</f>
        <v>0</v>
      </c>
      <c r="E111" s="17">
        <f>MQ!AD112</f>
        <v>0</v>
      </c>
      <c r="F111" s="63">
        <f t="shared" si="7"/>
        <v>0</v>
      </c>
      <c r="G111" s="63">
        <f t="shared" si="4"/>
        <v>0</v>
      </c>
      <c r="H111" s="63">
        <f t="shared" si="5"/>
        <v>0</v>
      </c>
      <c r="I111" s="14" t="e">
        <f t="shared" si="6"/>
        <v>#DIV/0!</v>
      </c>
      <c r="N111" s="124" t="s">
        <v>579</v>
      </c>
      <c r="O111" s="105">
        <v>0.30208333333333298</v>
      </c>
      <c r="P111" s="104">
        <v>0</v>
      </c>
    </row>
    <row r="112" spans="1:16">
      <c r="A112" s="292"/>
      <c r="B112" s="8">
        <v>0.38541666666666602</v>
      </c>
      <c r="C112" s="17">
        <f>'Trading Report'!C113</f>
        <v>0</v>
      </c>
      <c r="D112" s="17">
        <f>'Trading Report'!D113</f>
        <v>0</v>
      </c>
      <c r="E112" s="17">
        <f>MQ!AD113</f>
        <v>0</v>
      </c>
      <c r="F112" s="63">
        <f t="shared" si="7"/>
        <v>0</v>
      </c>
      <c r="G112" s="63">
        <f t="shared" si="4"/>
        <v>0</v>
      </c>
      <c r="H112" s="63">
        <f t="shared" si="5"/>
        <v>0</v>
      </c>
      <c r="I112" s="14" t="e">
        <f t="shared" si="6"/>
        <v>#DIV/0!</v>
      </c>
      <c r="N112" s="124" t="s">
        <v>580</v>
      </c>
      <c r="O112" s="105">
        <v>0.59027777777777701</v>
      </c>
      <c r="P112" s="104">
        <v>0</v>
      </c>
    </row>
    <row r="113" spans="1:16">
      <c r="A113" s="292"/>
      <c r="B113" s="8">
        <v>0.38888888888888901</v>
      </c>
      <c r="C113" s="17">
        <f>'Trading Report'!C114</f>
        <v>0</v>
      </c>
      <c r="D113" s="17">
        <f>'Trading Report'!D114</f>
        <v>0</v>
      </c>
      <c r="E113" s="17">
        <f>MQ!AD114</f>
        <v>0</v>
      </c>
      <c r="F113" s="63">
        <f t="shared" si="7"/>
        <v>0</v>
      </c>
      <c r="G113" s="63">
        <f t="shared" si="4"/>
        <v>0</v>
      </c>
      <c r="H113" s="63">
        <f t="shared" si="5"/>
        <v>0</v>
      </c>
      <c r="I113" s="14" t="e">
        <f t="shared" si="6"/>
        <v>#DIV/0!</v>
      </c>
      <c r="N113" s="124" t="s">
        <v>581</v>
      </c>
      <c r="O113" s="105">
        <v>0.68055555555555503</v>
      </c>
      <c r="P113" s="104">
        <v>0</v>
      </c>
    </row>
    <row r="114" spans="1:16">
      <c r="A114" s="292"/>
      <c r="B114" s="8">
        <v>0.39236111111111099</v>
      </c>
      <c r="C114" s="17">
        <f>'Trading Report'!C115</f>
        <v>0</v>
      </c>
      <c r="D114" s="17">
        <f>'Trading Report'!D115</f>
        <v>0</v>
      </c>
      <c r="E114" s="17">
        <f>MQ!AD115</f>
        <v>0</v>
      </c>
      <c r="F114" s="63">
        <f t="shared" si="7"/>
        <v>0</v>
      </c>
      <c r="G114" s="63">
        <f t="shared" si="4"/>
        <v>0</v>
      </c>
      <c r="H114" s="63">
        <f t="shared" si="5"/>
        <v>0</v>
      </c>
      <c r="I114" s="14" t="e">
        <f t="shared" si="6"/>
        <v>#DIV/0!</v>
      </c>
      <c r="N114" s="124" t="s">
        <v>582</v>
      </c>
      <c r="O114" s="105">
        <v>0.70833333333333304</v>
      </c>
      <c r="P114" s="104">
        <v>0</v>
      </c>
    </row>
    <row r="115" spans="1:16">
      <c r="A115" s="292"/>
      <c r="B115" s="8">
        <v>0.39583333333333298</v>
      </c>
      <c r="C115" s="17">
        <f>'Trading Report'!C116</f>
        <v>0</v>
      </c>
      <c r="D115" s="17">
        <f>'Trading Report'!D116</f>
        <v>0</v>
      </c>
      <c r="E115" s="17">
        <f>MQ!AD116</f>
        <v>0</v>
      </c>
      <c r="F115" s="63">
        <f t="shared" si="7"/>
        <v>0</v>
      </c>
      <c r="G115" s="63">
        <f t="shared" si="4"/>
        <v>0</v>
      </c>
      <c r="H115" s="63">
        <f t="shared" si="5"/>
        <v>0</v>
      </c>
      <c r="I115" s="14" t="e">
        <f t="shared" si="6"/>
        <v>#DIV/0!</v>
      </c>
      <c r="N115" s="124" t="s">
        <v>583</v>
      </c>
      <c r="O115" s="105">
        <v>0.54861111111111105</v>
      </c>
      <c r="P115" s="104">
        <v>0</v>
      </c>
    </row>
    <row r="116" spans="1:16">
      <c r="A116" s="292"/>
      <c r="B116" s="8">
        <v>0.39930555555555503</v>
      </c>
      <c r="C116" s="17">
        <f>'Trading Report'!C117</f>
        <v>0</v>
      </c>
      <c r="D116" s="17">
        <f>'Trading Report'!D117</f>
        <v>0</v>
      </c>
      <c r="E116" s="17">
        <f>MQ!AD117</f>
        <v>0</v>
      </c>
      <c r="F116" s="63">
        <f t="shared" si="7"/>
        <v>0</v>
      </c>
      <c r="G116" s="63">
        <f t="shared" si="4"/>
        <v>0</v>
      </c>
      <c r="H116" s="63">
        <f t="shared" si="5"/>
        <v>0</v>
      </c>
      <c r="I116" s="14" t="e">
        <f t="shared" si="6"/>
        <v>#DIV/0!</v>
      </c>
      <c r="N116" s="124" t="s">
        <v>584</v>
      </c>
      <c r="O116" s="105">
        <v>0.63541666666666596</v>
      </c>
      <c r="P116" s="104">
        <v>0</v>
      </c>
    </row>
    <row r="117" spans="1:16">
      <c r="A117" s="292"/>
      <c r="B117" s="8">
        <v>0.40277777777777801</v>
      </c>
      <c r="C117" s="17">
        <f>'Trading Report'!C118</f>
        <v>0</v>
      </c>
      <c r="D117" s="17">
        <f>'Trading Report'!D118</f>
        <v>0</v>
      </c>
      <c r="E117" s="17">
        <f>MQ!AD118</f>
        <v>0</v>
      </c>
      <c r="F117" s="63">
        <f t="shared" si="7"/>
        <v>0</v>
      </c>
      <c r="G117" s="63">
        <f t="shared" si="4"/>
        <v>0</v>
      </c>
      <c r="H117" s="63">
        <f t="shared" si="5"/>
        <v>0</v>
      </c>
      <c r="I117" s="14" t="e">
        <f t="shared" si="6"/>
        <v>#DIV/0!</v>
      </c>
      <c r="N117" s="124" t="s">
        <v>585</v>
      </c>
      <c r="O117" s="105">
        <v>0.29861111111111099</v>
      </c>
      <c r="P117" s="104">
        <v>0</v>
      </c>
    </row>
    <row r="118" spans="1:16">
      <c r="A118" s="292"/>
      <c r="B118" s="8">
        <v>0.40625</v>
      </c>
      <c r="C118" s="17">
        <f>'Trading Report'!C119</f>
        <v>0</v>
      </c>
      <c r="D118" s="17">
        <f>'Trading Report'!D119</f>
        <v>0</v>
      </c>
      <c r="E118" s="17">
        <f>MQ!AD119</f>
        <v>0</v>
      </c>
      <c r="F118" s="63">
        <f t="shared" si="7"/>
        <v>0</v>
      </c>
      <c r="G118" s="63">
        <f t="shared" si="4"/>
        <v>0</v>
      </c>
      <c r="H118" s="63">
        <f t="shared" si="5"/>
        <v>0</v>
      </c>
      <c r="I118" s="14" t="e">
        <f t="shared" si="6"/>
        <v>#DIV/0!</v>
      </c>
      <c r="N118" s="124" t="s">
        <v>586</v>
      </c>
      <c r="O118" s="105">
        <v>0.63194444444444398</v>
      </c>
      <c r="P118" s="104">
        <v>0</v>
      </c>
    </row>
    <row r="119" spans="1:16">
      <c r="A119" s="292"/>
      <c r="B119" s="8">
        <v>0.40972222222222199</v>
      </c>
      <c r="C119" s="17">
        <f>'Trading Report'!C120</f>
        <v>0</v>
      </c>
      <c r="D119" s="17">
        <f>'Trading Report'!D120</f>
        <v>0</v>
      </c>
      <c r="E119" s="17">
        <f>MQ!AD120</f>
        <v>0</v>
      </c>
      <c r="F119" s="63">
        <f t="shared" si="7"/>
        <v>0</v>
      </c>
      <c r="G119" s="63">
        <f t="shared" si="4"/>
        <v>0</v>
      </c>
      <c r="H119" s="63">
        <f t="shared" si="5"/>
        <v>0</v>
      </c>
      <c r="I119" s="14" t="e">
        <f t="shared" si="6"/>
        <v>#DIV/0!</v>
      </c>
      <c r="N119" s="124" t="s">
        <v>587</v>
      </c>
      <c r="O119" s="105">
        <v>0.39583333333333298</v>
      </c>
      <c r="P119" s="104">
        <v>0</v>
      </c>
    </row>
    <row r="120" spans="1:16">
      <c r="A120" s="292"/>
      <c r="B120" s="8">
        <v>0.41319444444444398</v>
      </c>
      <c r="C120" s="17">
        <f>'Trading Report'!C121</f>
        <v>0</v>
      </c>
      <c r="D120" s="17">
        <f>'Trading Report'!D121</f>
        <v>0</v>
      </c>
      <c r="E120" s="17">
        <f>MQ!AD121</f>
        <v>0</v>
      </c>
      <c r="F120" s="63">
        <f t="shared" si="7"/>
        <v>0</v>
      </c>
      <c r="G120" s="63">
        <f t="shared" si="4"/>
        <v>0</v>
      </c>
      <c r="H120" s="63">
        <f t="shared" si="5"/>
        <v>0</v>
      </c>
      <c r="I120" s="14" t="e">
        <f t="shared" si="6"/>
        <v>#DIV/0!</v>
      </c>
      <c r="N120" s="124" t="s">
        <v>588</v>
      </c>
      <c r="O120" s="105">
        <v>0.37152777777777801</v>
      </c>
      <c r="P120" s="104">
        <v>0</v>
      </c>
    </row>
    <row r="121" spans="1:16">
      <c r="A121" s="292"/>
      <c r="B121" s="8">
        <v>0.41666666666666602</v>
      </c>
      <c r="C121" s="17">
        <f>'Trading Report'!C122</f>
        <v>0</v>
      </c>
      <c r="D121" s="17">
        <f>'Trading Report'!D122</f>
        <v>0</v>
      </c>
      <c r="E121" s="17">
        <f>MQ!AD122</f>
        <v>0</v>
      </c>
      <c r="F121" s="63">
        <f t="shared" si="7"/>
        <v>0</v>
      </c>
      <c r="G121" s="63">
        <f t="shared" si="4"/>
        <v>0</v>
      </c>
      <c r="H121" s="63">
        <f t="shared" si="5"/>
        <v>0</v>
      </c>
      <c r="I121" s="14" t="e">
        <f t="shared" si="6"/>
        <v>#DIV/0!</v>
      </c>
      <c r="N121" s="124" t="s">
        <v>589</v>
      </c>
      <c r="O121" s="105">
        <v>0.39930555555555503</v>
      </c>
      <c r="P121" s="104">
        <v>0</v>
      </c>
    </row>
    <row r="122" spans="1:16">
      <c r="A122" s="292" t="s">
        <v>12</v>
      </c>
      <c r="B122" s="8">
        <v>0.42013888888888901</v>
      </c>
      <c r="C122" s="17">
        <f>'Trading Report'!C123</f>
        <v>0</v>
      </c>
      <c r="D122" s="17">
        <f>'Trading Report'!D123</f>
        <v>0</v>
      </c>
      <c r="E122" s="17">
        <f>MQ!AD123</f>
        <v>0</v>
      </c>
      <c r="F122" s="63">
        <f t="shared" si="7"/>
        <v>0</v>
      </c>
      <c r="G122" s="63">
        <f t="shared" si="4"/>
        <v>0</v>
      </c>
      <c r="H122" s="63">
        <f t="shared" si="5"/>
        <v>0</v>
      </c>
      <c r="I122" s="14" t="e">
        <f t="shared" si="6"/>
        <v>#DIV/0!</v>
      </c>
      <c r="N122" s="124" t="s">
        <v>590</v>
      </c>
      <c r="O122" s="105">
        <v>0.67708333333333304</v>
      </c>
      <c r="P122" s="104">
        <v>0</v>
      </c>
    </row>
    <row r="123" spans="1:16">
      <c r="A123" s="292"/>
      <c r="B123" s="8">
        <v>0.42361111111111099</v>
      </c>
      <c r="C123" s="17">
        <f>'Trading Report'!C124</f>
        <v>0</v>
      </c>
      <c r="D123" s="17">
        <f>'Trading Report'!D124</f>
        <v>0</v>
      </c>
      <c r="E123" s="17">
        <f>MQ!AD124</f>
        <v>0</v>
      </c>
      <c r="F123" s="63">
        <f t="shared" si="7"/>
        <v>0</v>
      </c>
      <c r="G123" s="63">
        <f t="shared" si="4"/>
        <v>0</v>
      </c>
      <c r="H123" s="63">
        <f t="shared" si="5"/>
        <v>0</v>
      </c>
      <c r="I123" s="14" t="e">
        <f t="shared" si="6"/>
        <v>#DIV/0!</v>
      </c>
      <c r="N123" s="124" t="s">
        <v>591</v>
      </c>
      <c r="O123" s="105">
        <v>0.375</v>
      </c>
      <c r="P123" s="104">
        <v>0</v>
      </c>
    </row>
    <row r="124" spans="1:16">
      <c r="A124" s="292"/>
      <c r="B124" s="8">
        <v>0.42708333333333298</v>
      </c>
      <c r="C124" s="17">
        <f>'Trading Report'!C125</f>
        <v>0</v>
      </c>
      <c r="D124" s="17">
        <f>'Trading Report'!D125</f>
        <v>0</v>
      </c>
      <c r="E124" s="17">
        <f>MQ!AD125</f>
        <v>0</v>
      </c>
      <c r="F124" s="63">
        <f t="shared" si="7"/>
        <v>0</v>
      </c>
      <c r="G124" s="63">
        <f t="shared" si="4"/>
        <v>0</v>
      </c>
      <c r="H124" s="63">
        <f t="shared" si="5"/>
        <v>0</v>
      </c>
      <c r="I124" s="14" t="e">
        <f t="shared" si="6"/>
        <v>#DIV/0!</v>
      </c>
      <c r="N124" s="124" t="s">
        <v>592</v>
      </c>
      <c r="O124" s="105">
        <v>0.40277777777777801</v>
      </c>
      <c r="P124" s="104">
        <v>0</v>
      </c>
    </row>
    <row r="125" spans="1:16">
      <c r="A125" s="292"/>
      <c r="B125" s="8">
        <v>0.43055555555555503</v>
      </c>
      <c r="C125" s="17">
        <f>'Trading Report'!C126</f>
        <v>0</v>
      </c>
      <c r="D125" s="17">
        <f>'Trading Report'!D126</f>
        <v>0</v>
      </c>
      <c r="E125" s="17">
        <f>MQ!AD126</f>
        <v>0</v>
      </c>
      <c r="F125" s="63">
        <f t="shared" si="7"/>
        <v>0</v>
      </c>
      <c r="G125" s="63">
        <f t="shared" si="4"/>
        <v>0</v>
      </c>
      <c r="H125" s="63">
        <f t="shared" si="5"/>
        <v>0</v>
      </c>
      <c r="I125" s="14" t="e">
        <f t="shared" si="6"/>
        <v>#DIV/0!</v>
      </c>
      <c r="N125" s="124" t="s">
        <v>593</v>
      </c>
      <c r="O125" s="105">
        <v>0.36805555555555503</v>
      </c>
      <c r="P125" s="104">
        <v>0</v>
      </c>
    </row>
    <row r="126" spans="1:16">
      <c r="A126" s="292"/>
      <c r="B126" s="8">
        <v>0.43402777777777801</v>
      </c>
      <c r="C126" s="17">
        <f>'Trading Report'!C127</f>
        <v>0</v>
      </c>
      <c r="D126" s="17">
        <f>'Trading Report'!D127</f>
        <v>0</v>
      </c>
      <c r="E126" s="17">
        <f>MQ!AD127</f>
        <v>0</v>
      </c>
      <c r="F126" s="63">
        <f t="shared" si="7"/>
        <v>0</v>
      </c>
      <c r="G126" s="63">
        <f t="shared" si="4"/>
        <v>0</v>
      </c>
      <c r="H126" s="63">
        <f t="shared" si="5"/>
        <v>0</v>
      </c>
      <c r="I126" s="14" t="e">
        <f t="shared" si="6"/>
        <v>#DIV/0!</v>
      </c>
      <c r="N126" s="124" t="s">
        <v>594</v>
      </c>
      <c r="O126" s="105">
        <v>0.40972222222222199</v>
      </c>
      <c r="P126" s="104">
        <v>0</v>
      </c>
    </row>
    <row r="127" spans="1:16">
      <c r="A127" s="292"/>
      <c r="B127" s="8">
        <v>0.4375</v>
      </c>
      <c r="C127" s="17">
        <f>'Trading Report'!C128</f>
        <v>0</v>
      </c>
      <c r="D127" s="17">
        <f>'Trading Report'!D128</f>
        <v>0</v>
      </c>
      <c r="E127" s="17">
        <f>MQ!AD128</f>
        <v>0</v>
      </c>
      <c r="F127" s="63">
        <f t="shared" si="7"/>
        <v>0</v>
      </c>
      <c r="G127" s="63">
        <f t="shared" si="4"/>
        <v>0</v>
      </c>
      <c r="H127" s="63">
        <f t="shared" si="5"/>
        <v>0</v>
      </c>
      <c r="I127" s="14" t="e">
        <f t="shared" si="6"/>
        <v>#DIV/0!</v>
      </c>
      <c r="N127" s="124" t="s">
        <v>595</v>
      </c>
      <c r="O127" s="105">
        <v>0.67361111111111105</v>
      </c>
      <c r="P127" s="104">
        <v>0</v>
      </c>
    </row>
    <row r="128" spans="1:16">
      <c r="A128" s="292"/>
      <c r="B128" s="8">
        <v>0.44097222222222199</v>
      </c>
      <c r="C128" s="17">
        <f>'Trading Report'!C129</f>
        <v>0</v>
      </c>
      <c r="D128" s="17">
        <f>'Trading Report'!D129</f>
        <v>0</v>
      </c>
      <c r="E128" s="17">
        <f>MQ!AD129</f>
        <v>0</v>
      </c>
      <c r="F128" s="63">
        <f t="shared" si="7"/>
        <v>0</v>
      </c>
      <c r="G128" s="63">
        <f t="shared" si="4"/>
        <v>0</v>
      </c>
      <c r="H128" s="63">
        <f t="shared" si="5"/>
        <v>0</v>
      </c>
      <c r="I128" s="14" t="e">
        <f t="shared" si="6"/>
        <v>#DIV/0!</v>
      </c>
      <c r="N128" s="124" t="s">
        <v>596</v>
      </c>
      <c r="O128" s="105">
        <v>0.33680555555555503</v>
      </c>
      <c r="P128" s="104">
        <v>0</v>
      </c>
    </row>
    <row r="129" spans="1:16">
      <c r="A129" s="292"/>
      <c r="B129" s="8">
        <v>0.44444444444444398</v>
      </c>
      <c r="C129" s="17">
        <f>'Trading Report'!C130</f>
        <v>0</v>
      </c>
      <c r="D129" s="17">
        <f>'Trading Report'!D130</f>
        <v>0</v>
      </c>
      <c r="E129" s="17">
        <f>MQ!AD130</f>
        <v>0</v>
      </c>
      <c r="F129" s="63">
        <f t="shared" si="7"/>
        <v>0</v>
      </c>
      <c r="G129" s="63">
        <f t="shared" si="4"/>
        <v>0</v>
      </c>
      <c r="H129" s="63">
        <f t="shared" si="5"/>
        <v>0</v>
      </c>
      <c r="I129" s="14" t="e">
        <f t="shared" si="6"/>
        <v>#DIV/0!</v>
      </c>
      <c r="N129" s="124" t="s">
        <v>597</v>
      </c>
      <c r="O129" s="105">
        <v>0.36458333333333298</v>
      </c>
      <c r="P129" s="104">
        <v>0</v>
      </c>
    </row>
    <row r="130" spans="1:16">
      <c r="A130" s="292"/>
      <c r="B130" s="8">
        <v>0.44791666666666602</v>
      </c>
      <c r="C130" s="17">
        <f>'Trading Report'!C131</f>
        <v>0</v>
      </c>
      <c r="D130" s="17">
        <f>'Trading Report'!D131</f>
        <v>0</v>
      </c>
      <c r="E130" s="17">
        <f>MQ!AD131</f>
        <v>0</v>
      </c>
      <c r="F130" s="63">
        <f t="shared" si="7"/>
        <v>0</v>
      </c>
      <c r="G130" s="63">
        <f t="shared" si="4"/>
        <v>0</v>
      </c>
      <c r="H130" s="63">
        <f t="shared" si="5"/>
        <v>0</v>
      </c>
      <c r="I130" s="14" t="e">
        <f t="shared" si="6"/>
        <v>#DIV/0!</v>
      </c>
      <c r="N130" s="124" t="s">
        <v>598</v>
      </c>
      <c r="O130" s="105">
        <v>0.41319444444444398</v>
      </c>
      <c r="P130" s="104">
        <v>0</v>
      </c>
    </row>
    <row r="131" spans="1:16">
      <c r="A131" s="292"/>
      <c r="B131" s="8">
        <v>0.45138888888888901</v>
      </c>
      <c r="C131" s="17">
        <f>'Trading Report'!C132</f>
        <v>0</v>
      </c>
      <c r="D131" s="17">
        <f>'Trading Report'!D132</f>
        <v>0</v>
      </c>
      <c r="E131" s="17">
        <f>MQ!AD132</f>
        <v>0</v>
      </c>
      <c r="F131" s="63">
        <f t="shared" si="7"/>
        <v>0</v>
      </c>
      <c r="G131" s="63">
        <f t="shared" ref="G131:G194" si="8">(1/12)*((F131+C131)/2)</f>
        <v>0</v>
      </c>
      <c r="H131" s="63">
        <f t="shared" ref="H131:H194" si="9">MAX($E$2:$E$289)</f>
        <v>0</v>
      </c>
      <c r="I131" s="14" t="e">
        <f t="shared" ref="I131:I194" si="10">ABS((G131-E131)/H131)</f>
        <v>#DIV/0!</v>
      </c>
      <c r="N131" s="124" t="s">
        <v>599</v>
      </c>
      <c r="O131" s="105">
        <v>0.41666666666666602</v>
      </c>
      <c r="P131" s="104">
        <v>0</v>
      </c>
    </row>
    <row r="132" spans="1:16">
      <c r="A132" s="292"/>
      <c r="B132" s="8">
        <v>0.45486111111111099</v>
      </c>
      <c r="C132" s="17">
        <f>'Trading Report'!C133</f>
        <v>0</v>
      </c>
      <c r="D132" s="17">
        <f>'Trading Report'!D133</f>
        <v>0</v>
      </c>
      <c r="E132" s="17">
        <f>MQ!AD133</f>
        <v>0</v>
      </c>
      <c r="F132" s="63">
        <f t="shared" ref="F132:F195" si="11">C131</f>
        <v>0</v>
      </c>
      <c r="G132" s="63">
        <f t="shared" si="8"/>
        <v>0</v>
      </c>
      <c r="H132" s="63">
        <f t="shared" si="9"/>
        <v>0</v>
      </c>
      <c r="I132" s="14" t="e">
        <f t="shared" si="10"/>
        <v>#DIV/0!</v>
      </c>
      <c r="N132" s="124" t="s">
        <v>600</v>
      </c>
      <c r="O132" s="105">
        <v>0.36111111111111099</v>
      </c>
      <c r="P132" s="104">
        <v>0</v>
      </c>
    </row>
    <row r="133" spans="1:16">
      <c r="A133" s="292"/>
      <c r="B133" s="8">
        <v>0.45833333333333298</v>
      </c>
      <c r="C133" s="17">
        <f>'Trading Report'!C134</f>
        <v>0</v>
      </c>
      <c r="D133" s="17">
        <f>'Trading Report'!D134</f>
        <v>0</v>
      </c>
      <c r="E133" s="17">
        <f>MQ!AD134</f>
        <v>0</v>
      </c>
      <c r="F133" s="63">
        <f t="shared" si="11"/>
        <v>0</v>
      </c>
      <c r="G133" s="63">
        <f t="shared" si="8"/>
        <v>0</v>
      </c>
      <c r="H133" s="63">
        <f t="shared" si="9"/>
        <v>0</v>
      </c>
      <c r="I133" s="14" t="e">
        <f t="shared" si="10"/>
        <v>#DIV/0!</v>
      </c>
      <c r="N133" s="124" t="s">
        <v>601</v>
      </c>
      <c r="O133" s="105">
        <v>0.35763888888888901</v>
      </c>
      <c r="P133" s="104">
        <v>0</v>
      </c>
    </row>
    <row r="134" spans="1:16">
      <c r="A134" s="292" t="s">
        <v>13</v>
      </c>
      <c r="B134" s="8">
        <v>0.46180555555555503</v>
      </c>
      <c r="C134" s="17">
        <f>'Trading Report'!C135</f>
        <v>0</v>
      </c>
      <c r="D134" s="17">
        <f>'Trading Report'!D135</f>
        <v>0</v>
      </c>
      <c r="E134" s="17">
        <f>MQ!AD135</f>
        <v>0</v>
      </c>
      <c r="F134" s="63">
        <f t="shared" si="11"/>
        <v>0</v>
      </c>
      <c r="G134" s="63">
        <f t="shared" si="8"/>
        <v>0</v>
      </c>
      <c r="H134" s="63">
        <f t="shared" si="9"/>
        <v>0</v>
      </c>
      <c r="I134" s="14" t="e">
        <f t="shared" si="10"/>
        <v>#DIV/0!</v>
      </c>
      <c r="N134" s="124" t="s">
        <v>602</v>
      </c>
      <c r="O134" s="105">
        <v>0.35416666666666602</v>
      </c>
      <c r="P134" s="104">
        <v>0</v>
      </c>
    </row>
    <row r="135" spans="1:16">
      <c r="A135" s="292"/>
      <c r="B135" s="8">
        <v>0.46527777777777801</v>
      </c>
      <c r="C135" s="17">
        <f>'Trading Report'!C136</f>
        <v>0</v>
      </c>
      <c r="D135" s="17">
        <f>'Trading Report'!D136</f>
        <v>0</v>
      </c>
      <c r="E135" s="17">
        <f>MQ!AD136</f>
        <v>0</v>
      </c>
      <c r="F135" s="63">
        <f t="shared" si="11"/>
        <v>0</v>
      </c>
      <c r="G135" s="63">
        <f t="shared" si="8"/>
        <v>0</v>
      </c>
      <c r="H135" s="63">
        <f t="shared" si="9"/>
        <v>0</v>
      </c>
      <c r="I135" s="14" t="e">
        <f t="shared" si="10"/>
        <v>#DIV/0!</v>
      </c>
      <c r="N135" s="124" t="s">
        <v>603</v>
      </c>
      <c r="O135" s="105">
        <v>0.35069444444444398</v>
      </c>
      <c r="P135" s="104">
        <v>0</v>
      </c>
    </row>
    <row r="136" spans="1:16">
      <c r="A136" s="292"/>
      <c r="B136" s="8">
        <v>0.46875</v>
      </c>
      <c r="C136" s="17">
        <f>'Trading Report'!C137</f>
        <v>0</v>
      </c>
      <c r="D136" s="17">
        <f>'Trading Report'!D137</f>
        <v>0</v>
      </c>
      <c r="E136" s="17">
        <f>MQ!AD137</f>
        <v>0</v>
      </c>
      <c r="F136" s="63">
        <f t="shared" si="11"/>
        <v>0</v>
      </c>
      <c r="G136" s="63">
        <f t="shared" si="8"/>
        <v>0</v>
      </c>
      <c r="H136" s="63">
        <f t="shared" si="9"/>
        <v>0</v>
      </c>
      <c r="I136" s="14" t="e">
        <f t="shared" si="10"/>
        <v>#DIV/0!</v>
      </c>
      <c r="N136" s="124" t="s">
        <v>604</v>
      </c>
      <c r="O136" s="105">
        <v>0.34722222222222199</v>
      </c>
      <c r="P136" s="104">
        <v>0</v>
      </c>
    </row>
    <row r="137" spans="1:16">
      <c r="A137" s="292"/>
      <c r="B137" s="8">
        <v>0.47222222222222199</v>
      </c>
      <c r="C137" s="17">
        <f>'Trading Report'!C138</f>
        <v>0</v>
      </c>
      <c r="D137" s="17">
        <f>'Trading Report'!D138</f>
        <v>0</v>
      </c>
      <c r="E137" s="17">
        <f>MQ!AD138</f>
        <v>0</v>
      </c>
      <c r="F137" s="63">
        <f t="shared" si="11"/>
        <v>0</v>
      </c>
      <c r="G137" s="63">
        <f t="shared" si="8"/>
        <v>0</v>
      </c>
      <c r="H137" s="63">
        <f t="shared" si="9"/>
        <v>0</v>
      </c>
      <c r="I137" s="14" t="e">
        <f t="shared" si="10"/>
        <v>#DIV/0!</v>
      </c>
      <c r="N137" s="124" t="s">
        <v>605</v>
      </c>
      <c r="O137" s="105">
        <v>0.37847222222222199</v>
      </c>
      <c r="P137" s="104">
        <v>0</v>
      </c>
    </row>
    <row r="138" spans="1:16">
      <c r="A138" s="292"/>
      <c r="B138" s="8">
        <v>0.47569444444444398</v>
      </c>
      <c r="C138" s="17">
        <f>'Trading Report'!C139</f>
        <v>0</v>
      </c>
      <c r="D138" s="17">
        <f>'Trading Report'!D139</f>
        <v>0</v>
      </c>
      <c r="E138" s="17">
        <f>MQ!AD139</f>
        <v>0</v>
      </c>
      <c r="F138" s="63">
        <f t="shared" si="11"/>
        <v>0</v>
      </c>
      <c r="G138" s="63">
        <f t="shared" si="8"/>
        <v>0</v>
      </c>
      <c r="H138" s="63">
        <f t="shared" si="9"/>
        <v>0</v>
      </c>
      <c r="I138" s="14" t="e">
        <f t="shared" si="10"/>
        <v>#DIV/0!</v>
      </c>
      <c r="N138" s="124" t="s">
        <v>606</v>
      </c>
      <c r="O138" s="105">
        <v>0.34375</v>
      </c>
      <c r="P138" s="104">
        <v>0</v>
      </c>
    </row>
    <row r="139" spans="1:16">
      <c r="A139" s="292"/>
      <c r="B139" s="8">
        <v>0.47916666666666602</v>
      </c>
      <c r="C139" s="17">
        <f>'Trading Report'!C140</f>
        <v>0</v>
      </c>
      <c r="D139" s="17">
        <f>'Trading Report'!D140</f>
        <v>0</v>
      </c>
      <c r="E139" s="17">
        <f>MQ!AD140</f>
        <v>0</v>
      </c>
      <c r="F139" s="63">
        <f t="shared" si="11"/>
        <v>0</v>
      </c>
      <c r="G139" s="63">
        <f t="shared" si="8"/>
        <v>0</v>
      </c>
      <c r="H139" s="63">
        <f t="shared" si="9"/>
        <v>0</v>
      </c>
      <c r="I139" s="14" t="e">
        <f t="shared" si="10"/>
        <v>#DIV/0!</v>
      </c>
      <c r="N139" s="124" t="s">
        <v>607</v>
      </c>
      <c r="O139" s="105">
        <v>0.34027777777777801</v>
      </c>
      <c r="P139" s="104">
        <v>0</v>
      </c>
    </row>
    <row r="140" spans="1:16">
      <c r="A140" s="292"/>
      <c r="B140" s="8">
        <v>0.48263888888888901</v>
      </c>
      <c r="C140" s="17">
        <f>'Trading Report'!C141</f>
        <v>0</v>
      </c>
      <c r="D140" s="17">
        <f>'Trading Report'!D141</f>
        <v>0</v>
      </c>
      <c r="E140" s="17">
        <f>MQ!AD141</f>
        <v>0</v>
      </c>
      <c r="F140" s="63">
        <f t="shared" si="11"/>
        <v>0</v>
      </c>
      <c r="G140" s="63">
        <f t="shared" si="8"/>
        <v>0</v>
      </c>
      <c r="H140" s="63">
        <f t="shared" si="9"/>
        <v>0</v>
      </c>
      <c r="I140" s="14" t="e">
        <f t="shared" si="10"/>
        <v>#DIV/0!</v>
      </c>
      <c r="N140" s="124" t="s">
        <v>608</v>
      </c>
      <c r="O140" s="105">
        <v>0.38888888888888901</v>
      </c>
      <c r="P140" s="104">
        <v>0</v>
      </c>
    </row>
    <row r="141" spans="1:16">
      <c r="A141" s="292"/>
      <c r="B141" s="8">
        <v>0.48611111111111099</v>
      </c>
      <c r="C141" s="17">
        <f>'Trading Report'!C142</f>
        <v>0</v>
      </c>
      <c r="D141" s="17">
        <f>'Trading Report'!D142</f>
        <v>0</v>
      </c>
      <c r="E141" s="17">
        <f>MQ!AD142</f>
        <v>0</v>
      </c>
      <c r="F141" s="63">
        <f t="shared" si="11"/>
        <v>0</v>
      </c>
      <c r="G141" s="63">
        <f t="shared" si="8"/>
        <v>0</v>
      </c>
      <c r="H141" s="63">
        <f t="shared" si="9"/>
        <v>0</v>
      </c>
      <c r="I141" s="14" t="e">
        <f t="shared" si="10"/>
        <v>#DIV/0!</v>
      </c>
      <c r="N141" s="124" t="s">
        <v>609</v>
      </c>
      <c r="O141" s="105">
        <v>0.38194444444444398</v>
      </c>
      <c r="P141" s="104">
        <v>0</v>
      </c>
    </row>
    <row r="142" spans="1:16">
      <c r="A142" s="292"/>
      <c r="B142" s="8">
        <v>0.48958333333333298</v>
      </c>
      <c r="C142" s="17">
        <f>'Trading Report'!C143</f>
        <v>0</v>
      </c>
      <c r="D142" s="17">
        <f>'Trading Report'!D143</f>
        <v>0</v>
      </c>
      <c r="E142" s="17">
        <f>MQ!AD143</f>
        <v>0</v>
      </c>
      <c r="F142" s="63">
        <f t="shared" si="11"/>
        <v>0</v>
      </c>
      <c r="G142" s="63">
        <f t="shared" si="8"/>
        <v>0</v>
      </c>
      <c r="H142" s="63">
        <f t="shared" si="9"/>
        <v>0</v>
      </c>
      <c r="I142" s="14" t="e">
        <f t="shared" si="10"/>
        <v>#DIV/0!</v>
      </c>
      <c r="N142" s="124" t="s">
        <v>610</v>
      </c>
      <c r="O142" s="105">
        <v>0.38541666666666602</v>
      </c>
      <c r="P142" s="104">
        <v>0</v>
      </c>
    </row>
    <row r="143" spans="1:16">
      <c r="A143" s="292"/>
      <c r="B143" s="8">
        <v>0.49305555555555503</v>
      </c>
      <c r="C143" s="17">
        <f>'Trading Report'!C144</f>
        <v>0</v>
      </c>
      <c r="D143" s="17">
        <f>'Trading Report'!D144</f>
        <v>0</v>
      </c>
      <c r="E143" s="17">
        <f>MQ!AD144</f>
        <v>0</v>
      </c>
      <c r="F143" s="63">
        <f t="shared" si="11"/>
        <v>0</v>
      </c>
      <c r="G143" s="63">
        <f t="shared" si="8"/>
        <v>0</v>
      </c>
      <c r="H143" s="63">
        <f t="shared" si="9"/>
        <v>0</v>
      </c>
      <c r="I143" s="14" t="e">
        <f t="shared" si="10"/>
        <v>#DIV/0!</v>
      </c>
      <c r="N143" s="124" t="s">
        <v>611</v>
      </c>
      <c r="O143" s="105">
        <v>0.87152777777777701</v>
      </c>
      <c r="P143" s="104">
        <v>5.9311981020166132E-4</v>
      </c>
    </row>
    <row r="144" spans="1:16">
      <c r="A144" s="292"/>
      <c r="B144" s="8">
        <v>0.49652777777777801</v>
      </c>
      <c r="C144" s="17">
        <f>'Trading Report'!C145</f>
        <v>0</v>
      </c>
      <c r="D144" s="17">
        <f>'Trading Report'!D145</f>
        <v>0</v>
      </c>
      <c r="E144" s="17">
        <f>MQ!AD145</f>
        <v>0</v>
      </c>
      <c r="F144" s="63">
        <f t="shared" si="11"/>
        <v>0</v>
      </c>
      <c r="G144" s="63">
        <f t="shared" si="8"/>
        <v>0</v>
      </c>
      <c r="H144" s="63">
        <f t="shared" si="9"/>
        <v>0</v>
      </c>
      <c r="I144" s="14" t="e">
        <f t="shared" si="10"/>
        <v>#DIV/0!</v>
      </c>
      <c r="N144" s="124" t="s">
        <v>612</v>
      </c>
      <c r="O144" s="105">
        <v>0.32638888888888901</v>
      </c>
      <c r="P144" s="104">
        <v>6.1783313562672993E-4</v>
      </c>
    </row>
    <row r="145" spans="1:16">
      <c r="A145" s="292"/>
      <c r="B145" s="8">
        <v>0.5</v>
      </c>
      <c r="C145" s="17">
        <f>'Trading Report'!C146</f>
        <v>0</v>
      </c>
      <c r="D145" s="17">
        <f>'Trading Report'!D146</f>
        <v>0</v>
      </c>
      <c r="E145" s="17">
        <f>MQ!AD146</f>
        <v>0</v>
      </c>
      <c r="F145" s="63">
        <f t="shared" si="11"/>
        <v>0</v>
      </c>
      <c r="G145" s="63">
        <f t="shared" si="8"/>
        <v>0</v>
      </c>
      <c r="H145" s="63">
        <f t="shared" si="9"/>
        <v>0</v>
      </c>
      <c r="I145" s="14" t="e">
        <f t="shared" si="10"/>
        <v>#DIV/0!</v>
      </c>
      <c r="N145" s="124" t="s">
        <v>613</v>
      </c>
      <c r="O145" s="105">
        <v>0.73611111111111105</v>
      </c>
      <c r="P145" s="104">
        <v>1.1368129695531238E-3</v>
      </c>
    </row>
    <row r="146" spans="1:16">
      <c r="A146" s="292" t="s">
        <v>14</v>
      </c>
      <c r="B146" s="8">
        <v>0.50347222222222199</v>
      </c>
      <c r="C146" s="17">
        <f>'Trading Report'!C147</f>
        <v>0</v>
      </c>
      <c r="D146" s="17">
        <f>'Trading Report'!D147</f>
        <v>0</v>
      </c>
      <c r="E146" s="17">
        <f>MQ!AD147</f>
        <v>0</v>
      </c>
      <c r="F146" s="63">
        <f t="shared" si="11"/>
        <v>0</v>
      </c>
      <c r="G146" s="63">
        <f t="shared" si="8"/>
        <v>0</v>
      </c>
      <c r="H146" s="63">
        <f t="shared" si="9"/>
        <v>0</v>
      </c>
      <c r="I146" s="14" t="e">
        <f t="shared" si="10"/>
        <v>#DIV/0!</v>
      </c>
      <c r="N146" s="124" t="s">
        <v>614</v>
      </c>
      <c r="O146" s="105">
        <v>0.75694444444444398</v>
      </c>
      <c r="P146" s="104">
        <v>1.1615262949782525E-3</v>
      </c>
    </row>
    <row r="147" spans="1:16">
      <c r="A147" s="292"/>
      <c r="B147" s="8">
        <v>0.50694444444444398</v>
      </c>
      <c r="C147" s="17">
        <f>'Trading Report'!C148</f>
        <v>0</v>
      </c>
      <c r="D147" s="17">
        <f>'Trading Report'!D148</f>
        <v>0</v>
      </c>
      <c r="E147" s="17">
        <f>MQ!AD148</f>
        <v>0</v>
      </c>
      <c r="F147" s="63">
        <f t="shared" si="11"/>
        <v>0</v>
      </c>
      <c r="G147" s="63">
        <f t="shared" si="8"/>
        <v>0</v>
      </c>
      <c r="H147" s="63">
        <f t="shared" si="9"/>
        <v>0</v>
      </c>
      <c r="I147" s="14" t="e">
        <f t="shared" si="10"/>
        <v>#DIV/0!</v>
      </c>
      <c r="N147" s="124" t="s">
        <v>615</v>
      </c>
      <c r="O147" s="105">
        <v>0.57638888888888895</v>
      </c>
      <c r="P147" s="104">
        <v>1.2356662712534599E-3</v>
      </c>
    </row>
    <row r="148" spans="1:16">
      <c r="A148" s="292"/>
      <c r="B148" s="8">
        <v>0.51041666666666596</v>
      </c>
      <c r="C148" s="17">
        <f>'Trading Report'!C149</f>
        <v>0</v>
      </c>
      <c r="D148" s="17">
        <f>'Trading Report'!D149</f>
        <v>0</v>
      </c>
      <c r="E148" s="17">
        <f>MQ!AD149</f>
        <v>0</v>
      </c>
      <c r="F148" s="63">
        <f t="shared" si="11"/>
        <v>0</v>
      </c>
      <c r="G148" s="63">
        <f t="shared" si="8"/>
        <v>0</v>
      </c>
      <c r="H148" s="63">
        <f t="shared" si="9"/>
        <v>0</v>
      </c>
      <c r="I148" s="14" t="e">
        <f t="shared" si="10"/>
        <v>#DIV/0!</v>
      </c>
      <c r="N148" s="124" t="s">
        <v>616</v>
      </c>
      <c r="O148" s="105">
        <v>0.80555555555555503</v>
      </c>
      <c r="P148" s="104">
        <v>1.5322261763542862E-3</v>
      </c>
    </row>
    <row r="149" spans="1:16">
      <c r="A149" s="292"/>
      <c r="B149" s="8">
        <v>0.51388888888888895</v>
      </c>
      <c r="C149" s="17">
        <f>'Trading Report'!C150</f>
        <v>0</v>
      </c>
      <c r="D149" s="17">
        <f>'Trading Report'!D150</f>
        <v>0</v>
      </c>
      <c r="E149" s="17">
        <f>MQ!AD150</f>
        <v>0</v>
      </c>
      <c r="F149" s="63">
        <f t="shared" si="11"/>
        <v>0</v>
      </c>
      <c r="G149" s="63">
        <f t="shared" si="8"/>
        <v>0</v>
      </c>
      <c r="H149" s="63">
        <f t="shared" si="9"/>
        <v>0</v>
      </c>
      <c r="I149" s="14" t="e">
        <f t="shared" si="10"/>
        <v>#DIV/0!</v>
      </c>
      <c r="N149" s="124" t="s">
        <v>617</v>
      </c>
      <c r="O149" s="105">
        <v>0.86111111111111105</v>
      </c>
      <c r="P149" s="104">
        <v>1.7052194543296856E-3</v>
      </c>
    </row>
    <row r="150" spans="1:16">
      <c r="A150" s="292"/>
      <c r="B150" s="8">
        <v>0.51736111111111105</v>
      </c>
      <c r="C150" s="17">
        <f>'Trading Report'!C151</f>
        <v>0</v>
      </c>
      <c r="D150" s="17">
        <f>'Trading Report'!D151</f>
        <v>0</v>
      </c>
      <c r="E150" s="17">
        <f>MQ!AD151</f>
        <v>0</v>
      </c>
      <c r="F150" s="63">
        <f t="shared" si="11"/>
        <v>0</v>
      </c>
      <c r="G150" s="63">
        <f t="shared" si="8"/>
        <v>0</v>
      </c>
      <c r="H150" s="63">
        <f t="shared" si="9"/>
        <v>0</v>
      </c>
      <c r="I150" s="14" t="e">
        <f t="shared" si="10"/>
        <v>#DIV/0!</v>
      </c>
      <c r="N150" s="124" t="s">
        <v>618</v>
      </c>
      <c r="O150" s="105">
        <v>0.76041666666666596</v>
      </c>
      <c r="P150" s="104">
        <v>2.323052589956505E-3</v>
      </c>
    </row>
    <row r="151" spans="1:16">
      <c r="A151" s="292"/>
      <c r="B151" s="8">
        <v>0.52083333333333304</v>
      </c>
      <c r="C151" s="17">
        <f>'Trading Report'!C152</f>
        <v>0</v>
      </c>
      <c r="D151" s="17">
        <f>'Trading Report'!D152</f>
        <v>0</v>
      </c>
      <c r="E151" s="17">
        <f>MQ!AD152</f>
        <v>0</v>
      </c>
      <c r="F151" s="63">
        <f t="shared" si="11"/>
        <v>0</v>
      </c>
      <c r="G151" s="63">
        <f t="shared" si="8"/>
        <v>0</v>
      </c>
      <c r="H151" s="63">
        <f t="shared" si="9"/>
        <v>0</v>
      </c>
      <c r="I151" s="14" t="e">
        <f t="shared" si="10"/>
        <v>#DIV/0!</v>
      </c>
      <c r="N151" s="124" t="s">
        <v>619</v>
      </c>
      <c r="O151" s="105">
        <v>0.62847222222222199</v>
      </c>
      <c r="P151" s="104">
        <v>2.4713325425069197E-3</v>
      </c>
    </row>
    <row r="152" spans="1:16">
      <c r="A152" s="292"/>
      <c r="B152" s="8">
        <v>0.52430555555555503</v>
      </c>
      <c r="C152" s="17">
        <f>'Trading Report'!C153</f>
        <v>0</v>
      </c>
      <c r="D152" s="17">
        <f>'Trading Report'!D153</f>
        <v>0</v>
      </c>
      <c r="E152" s="17">
        <f>MQ!AD153</f>
        <v>0</v>
      </c>
      <c r="F152" s="63">
        <f t="shared" si="11"/>
        <v>0</v>
      </c>
      <c r="G152" s="63">
        <f t="shared" si="8"/>
        <v>0</v>
      </c>
      <c r="H152" s="63">
        <f t="shared" si="9"/>
        <v>0</v>
      </c>
      <c r="I152" s="14" t="e">
        <f t="shared" si="10"/>
        <v>#DIV/0!</v>
      </c>
      <c r="N152" s="124" t="s">
        <v>620</v>
      </c>
      <c r="O152" s="105">
        <v>0.27083333333333298</v>
      </c>
      <c r="P152" s="104">
        <v>2.792605773032808E-3</v>
      </c>
    </row>
    <row r="153" spans="1:16">
      <c r="A153" s="292"/>
      <c r="B153" s="8">
        <v>0.52777777777777801</v>
      </c>
      <c r="C153" s="17">
        <f>'Trading Report'!C154</f>
        <v>0</v>
      </c>
      <c r="D153" s="17">
        <f>'Trading Report'!D154</f>
        <v>0</v>
      </c>
      <c r="E153" s="17">
        <f>MQ!AD154</f>
        <v>0</v>
      </c>
      <c r="F153" s="63">
        <f t="shared" si="11"/>
        <v>0</v>
      </c>
      <c r="G153" s="63">
        <f t="shared" si="8"/>
        <v>0</v>
      </c>
      <c r="H153" s="63">
        <f t="shared" si="9"/>
        <v>0</v>
      </c>
      <c r="I153" s="14" t="e">
        <f t="shared" si="10"/>
        <v>#DIV/0!</v>
      </c>
      <c r="N153" s="124" t="s">
        <v>621</v>
      </c>
      <c r="O153" s="105">
        <v>0.875</v>
      </c>
      <c r="P153" s="104">
        <v>3.1138790035587054E-3</v>
      </c>
    </row>
    <row r="154" spans="1:16">
      <c r="A154" s="292"/>
      <c r="B154" s="8">
        <v>0.53125</v>
      </c>
      <c r="C154" s="17">
        <f>'Trading Report'!C155</f>
        <v>0</v>
      </c>
      <c r="D154" s="17">
        <f>'Trading Report'!D155</f>
        <v>0</v>
      </c>
      <c r="E154" s="17">
        <f>MQ!AD155</f>
        <v>0</v>
      </c>
      <c r="F154" s="63">
        <f t="shared" si="11"/>
        <v>0</v>
      </c>
      <c r="G154" s="63">
        <f t="shared" si="8"/>
        <v>0</v>
      </c>
      <c r="H154" s="63">
        <f t="shared" si="9"/>
        <v>0</v>
      </c>
      <c r="I154" s="14" t="e">
        <f t="shared" si="10"/>
        <v>#DIV/0!</v>
      </c>
      <c r="N154" s="124" t="s">
        <v>622</v>
      </c>
      <c r="O154" s="105">
        <v>0.80902777777777701</v>
      </c>
      <c r="P154" s="104">
        <v>3.6575721629102664E-3</v>
      </c>
    </row>
    <row r="155" spans="1:16">
      <c r="A155" s="292"/>
      <c r="B155" s="8">
        <v>0.53472222222222199</v>
      </c>
      <c r="C155" s="17">
        <f>'Trading Report'!C156</f>
        <v>0</v>
      </c>
      <c r="D155" s="17">
        <f>'Trading Report'!D156</f>
        <v>0</v>
      </c>
      <c r="E155" s="17">
        <f>MQ!AD156</f>
        <v>0</v>
      </c>
      <c r="F155" s="63">
        <f t="shared" si="11"/>
        <v>0</v>
      </c>
      <c r="G155" s="63">
        <f t="shared" si="8"/>
        <v>0</v>
      </c>
      <c r="H155" s="63">
        <f t="shared" si="9"/>
        <v>0</v>
      </c>
      <c r="I155" s="14" t="e">
        <f t="shared" si="10"/>
        <v>#DIV/0!</v>
      </c>
      <c r="N155" s="124" t="s">
        <v>623</v>
      </c>
      <c r="O155" s="105">
        <v>0.79166666666666596</v>
      </c>
      <c r="P155" s="104">
        <v>4.0282720442862963E-3</v>
      </c>
    </row>
    <row r="156" spans="1:16">
      <c r="A156" s="292"/>
      <c r="B156" s="8">
        <v>0.53819444444444398</v>
      </c>
      <c r="C156" s="17">
        <f>'Trading Report'!C157</f>
        <v>0</v>
      </c>
      <c r="D156" s="17">
        <f>'Trading Report'!D157</f>
        <v>0</v>
      </c>
      <c r="E156" s="17">
        <f>MQ!AD157</f>
        <v>0</v>
      </c>
      <c r="F156" s="63">
        <f t="shared" si="11"/>
        <v>0</v>
      </c>
      <c r="G156" s="63">
        <f t="shared" si="8"/>
        <v>0</v>
      </c>
      <c r="H156" s="63">
        <f t="shared" si="9"/>
        <v>0</v>
      </c>
      <c r="I156" s="14" t="e">
        <f t="shared" si="10"/>
        <v>#DIV/0!</v>
      </c>
      <c r="N156" s="124" t="s">
        <v>624</v>
      </c>
      <c r="O156" s="105">
        <v>0.82291666666666596</v>
      </c>
      <c r="P156" s="104">
        <v>6.0053380782917791E-3</v>
      </c>
    </row>
    <row r="157" spans="1:16">
      <c r="A157" s="292"/>
      <c r="B157" s="8">
        <v>0.54166666666666596</v>
      </c>
      <c r="C157" s="17">
        <f>'Trading Report'!C158</f>
        <v>0</v>
      </c>
      <c r="D157" s="17">
        <f>'Trading Report'!D158</f>
        <v>0</v>
      </c>
      <c r="E157" s="17">
        <f>MQ!AD158</f>
        <v>0</v>
      </c>
      <c r="F157" s="63">
        <f t="shared" si="11"/>
        <v>0</v>
      </c>
      <c r="G157" s="63">
        <f t="shared" si="8"/>
        <v>0</v>
      </c>
      <c r="H157" s="63">
        <f t="shared" si="9"/>
        <v>0</v>
      </c>
      <c r="I157" s="14" t="e">
        <f t="shared" si="10"/>
        <v>#DIV/0!</v>
      </c>
      <c r="N157" s="124" t="s">
        <v>625</v>
      </c>
      <c r="O157" s="105">
        <v>0.8125</v>
      </c>
      <c r="P157" s="104">
        <v>6.9444444444444701E-3</v>
      </c>
    </row>
    <row r="158" spans="1:16">
      <c r="A158" s="292" t="s">
        <v>15</v>
      </c>
      <c r="B158" s="8">
        <v>0.54513888888888895</v>
      </c>
      <c r="C158" s="17">
        <f>'Trading Report'!C159</f>
        <v>0</v>
      </c>
      <c r="D158" s="17">
        <f>'Trading Report'!D159</f>
        <v>0</v>
      </c>
      <c r="E158" s="17">
        <f>MQ!AD159</f>
        <v>0</v>
      </c>
      <c r="F158" s="63">
        <f t="shared" si="11"/>
        <v>0</v>
      </c>
      <c r="G158" s="63">
        <f t="shared" si="8"/>
        <v>0</v>
      </c>
      <c r="H158" s="63">
        <f t="shared" si="9"/>
        <v>0</v>
      </c>
      <c r="I158" s="14" t="e">
        <f t="shared" si="10"/>
        <v>#DIV/0!</v>
      </c>
      <c r="N158" s="124" t="s">
        <v>626</v>
      </c>
      <c r="O158" s="105">
        <v>0.47569444444444398</v>
      </c>
      <c r="P158" s="104">
        <v>7.4139976275207587E-3</v>
      </c>
    </row>
    <row r="159" spans="1:16">
      <c r="A159" s="292"/>
      <c r="B159" s="8">
        <v>0.54861111111111105</v>
      </c>
      <c r="C159" s="17">
        <f>'Trading Report'!C160</f>
        <v>0</v>
      </c>
      <c r="D159" s="17">
        <f>'Trading Report'!D160</f>
        <v>0</v>
      </c>
      <c r="E159" s="17">
        <f>MQ!AD160</f>
        <v>0</v>
      </c>
      <c r="F159" s="63">
        <f t="shared" si="11"/>
        <v>0</v>
      </c>
      <c r="G159" s="63">
        <f t="shared" si="8"/>
        <v>0</v>
      </c>
      <c r="H159" s="63">
        <f t="shared" si="9"/>
        <v>0</v>
      </c>
      <c r="I159" s="14" t="e">
        <f t="shared" si="10"/>
        <v>#DIV/0!</v>
      </c>
      <c r="N159" s="124" t="s">
        <v>627</v>
      </c>
      <c r="O159" s="105">
        <v>0.79861111111111105</v>
      </c>
      <c r="P159" s="104">
        <v>7.5128509292210158E-3</v>
      </c>
    </row>
    <row r="160" spans="1:16">
      <c r="A160" s="292"/>
      <c r="B160" s="8">
        <v>0.55208333333333304</v>
      </c>
      <c r="C160" s="17">
        <f>'Trading Report'!C161</f>
        <v>0</v>
      </c>
      <c r="D160" s="17">
        <f>'Trading Report'!D161</f>
        <v>0</v>
      </c>
      <c r="E160" s="17">
        <f>MQ!AD161</f>
        <v>0</v>
      </c>
      <c r="F160" s="63">
        <f t="shared" si="11"/>
        <v>0</v>
      </c>
      <c r="G160" s="63">
        <f t="shared" si="8"/>
        <v>0</v>
      </c>
      <c r="H160" s="63">
        <f t="shared" si="9"/>
        <v>0</v>
      </c>
      <c r="I160" s="14" t="e">
        <f t="shared" si="10"/>
        <v>#DIV/0!</v>
      </c>
      <c r="N160" s="124" t="s">
        <v>628</v>
      </c>
      <c r="O160" s="105">
        <v>0.83333333333333304</v>
      </c>
      <c r="P160" s="104">
        <v>7.735270858046696E-3</v>
      </c>
    </row>
    <row r="161" spans="1:16">
      <c r="A161" s="292"/>
      <c r="B161" s="8">
        <v>0.55555555555555503</v>
      </c>
      <c r="C161" s="17">
        <f>'Trading Report'!C162</f>
        <v>0</v>
      </c>
      <c r="D161" s="17">
        <f>'Trading Report'!D162</f>
        <v>0</v>
      </c>
      <c r="E161" s="17">
        <f>MQ!AD162</f>
        <v>0</v>
      </c>
      <c r="F161" s="63">
        <f t="shared" si="11"/>
        <v>0</v>
      </c>
      <c r="G161" s="63">
        <f t="shared" si="8"/>
        <v>0</v>
      </c>
      <c r="H161" s="63">
        <f t="shared" si="9"/>
        <v>0</v>
      </c>
      <c r="I161" s="14" t="e">
        <f t="shared" si="10"/>
        <v>#DIV/0!</v>
      </c>
      <c r="N161" s="124" t="s">
        <v>629</v>
      </c>
      <c r="O161" s="105">
        <v>0.81597222222222199</v>
      </c>
      <c r="P161" s="104">
        <v>7.8341241597469288E-3</v>
      </c>
    </row>
    <row r="162" spans="1:16">
      <c r="A162" s="292"/>
      <c r="B162" s="8">
        <v>0.55902777777777801</v>
      </c>
      <c r="C162" s="17">
        <f>'Trading Report'!C163</f>
        <v>0</v>
      </c>
      <c r="D162" s="17">
        <f>'Trading Report'!D163</f>
        <v>0</v>
      </c>
      <c r="E162" s="17">
        <f>MQ!AD163</f>
        <v>0</v>
      </c>
      <c r="F162" s="63">
        <f t="shared" si="11"/>
        <v>0</v>
      </c>
      <c r="G162" s="63">
        <f t="shared" si="8"/>
        <v>0</v>
      </c>
      <c r="H162" s="63">
        <f t="shared" si="9"/>
        <v>0</v>
      </c>
      <c r="I162" s="14" t="e">
        <f t="shared" si="10"/>
        <v>#DIV/0!</v>
      </c>
      <c r="N162" s="124" t="s">
        <v>630</v>
      </c>
      <c r="O162" s="105">
        <v>0.82638888888888895</v>
      </c>
      <c r="P162" s="104">
        <v>7.8835508105970942E-3</v>
      </c>
    </row>
    <row r="163" spans="1:16">
      <c r="A163" s="292"/>
      <c r="B163" s="8">
        <v>0.5625</v>
      </c>
      <c r="C163" s="17">
        <f>'Trading Report'!C164</f>
        <v>0</v>
      </c>
      <c r="D163" s="17">
        <f>'Trading Report'!D164</f>
        <v>0</v>
      </c>
      <c r="E163" s="17">
        <f>MQ!AD164</f>
        <v>0</v>
      </c>
      <c r="F163" s="63">
        <f t="shared" si="11"/>
        <v>0</v>
      </c>
      <c r="G163" s="63">
        <f t="shared" si="8"/>
        <v>0</v>
      </c>
      <c r="H163" s="63">
        <f t="shared" si="9"/>
        <v>0</v>
      </c>
      <c r="I163" s="14" t="e">
        <f t="shared" si="10"/>
        <v>#DIV/0!</v>
      </c>
      <c r="N163" s="124" t="s">
        <v>631</v>
      </c>
      <c r="O163" s="105">
        <v>0.28472222222222199</v>
      </c>
      <c r="P163" s="104">
        <v>7.9576907868722617E-3</v>
      </c>
    </row>
    <row r="164" spans="1:16">
      <c r="A164" s="292"/>
      <c r="B164" s="8">
        <v>0.56597222222222199</v>
      </c>
      <c r="C164" s="17">
        <f>'Trading Report'!C165</f>
        <v>0</v>
      </c>
      <c r="D164" s="17">
        <f>'Trading Report'!D165</f>
        <v>0</v>
      </c>
      <c r="E164" s="17">
        <f>MQ!AD165</f>
        <v>0</v>
      </c>
      <c r="F164" s="63">
        <f t="shared" si="11"/>
        <v>0</v>
      </c>
      <c r="G164" s="63">
        <f t="shared" si="8"/>
        <v>0</v>
      </c>
      <c r="H164" s="63">
        <f t="shared" si="9"/>
        <v>0</v>
      </c>
      <c r="I164" s="14" t="e">
        <f t="shared" si="10"/>
        <v>#DIV/0!</v>
      </c>
      <c r="N164" s="124" t="s">
        <v>632</v>
      </c>
      <c r="O164" s="105">
        <v>0.85069444444444398</v>
      </c>
      <c r="P164" s="104">
        <v>8.5508105970739882E-3</v>
      </c>
    </row>
    <row r="165" spans="1:16">
      <c r="A165" s="292"/>
      <c r="B165" s="8">
        <v>0.56944444444444398</v>
      </c>
      <c r="C165" s="17">
        <f>'Trading Report'!C166</f>
        <v>0</v>
      </c>
      <c r="D165" s="17">
        <f>'Trading Report'!D166</f>
        <v>0</v>
      </c>
      <c r="E165" s="17">
        <f>MQ!AD166</f>
        <v>0</v>
      </c>
      <c r="F165" s="63">
        <f t="shared" si="11"/>
        <v>0</v>
      </c>
      <c r="G165" s="63">
        <f t="shared" si="8"/>
        <v>0</v>
      </c>
      <c r="H165" s="63">
        <f t="shared" si="9"/>
        <v>0</v>
      </c>
      <c r="I165" s="14" t="e">
        <f t="shared" si="10"/>
        <v>#DIV/0!</v>
      </c>
      <c r="N165" s="124" t="s">
        <v>633</v>
      </c>
      <c r="O165" s="105">
        <v>0.76388888888888895</v>
      </c>
      <c r="P165" s="104">
        <v>8.7485172004744972E-3</v>
      </c>
    </row>
    <row r="166" spans="1:16">
      <c r="A166" s="292"/>
      <c r="B166" s="8">
        <v>0.57291666666666596</v>
      </c>
      <c r="C166" s="17">
        <f>'Trading Report'!C167</f>
        <v>0</v>
      </c>
      <c r="D166" s="17">
        <f>'Trading Report'!D167</f>
        <v>0</v>
      </c>
      <c r="E166" s="17">
        <f>MQ!AD167</f>
        <v>0</v>
      </c>
      <c r="F166" s="63">
        <f t="shared" si="11"/>
        <v>0</v>
      </c>
      <c r="G166" s="63">
        <f t="shared" si="8"/>
        <v>0</v>
      </c>
      <c r="H166" s="63">
        <f t="shared" si="9"/>
        <v>0</v>
      </c>
      <c r="I166" s="14" t="e">
        <f t="shared" si="10"/>
        <v>#DIV/0!</v>
      </c>
      <c r="N166" s="124" t="s">
        <v>634</v>
      </c>
      <c r="O166" s="105">
        <v>0.83680555555555503</v>
      </c>
      <c r="P166" s="104">
        <v>9.1686437327007497E-3</v>
      </c>
    </row>
    <row r="167" spans="1:16">
      <c r="A167" s="292"/>
      <c r="B167" s="8">
        <v>0.57638888888888895</v>
      </c>
      <c r="C167" s="17">
        <f>'Trading Report'!C168</f>
        <v>0</v>
      </c>
      <c r="D167" s="17">
        <f>'Trading Report'!D168</f>
        <v>0</v>
      </c>
      <c r="E167" s="17">
        <f>MQ!AD168</f>
        <v>0</v>
      </c>
      <c r="F167" s="63">
        <f t="shared" si="11"/>
        <v>0</v>
      </c>
      <c r="G167" s="63">
        <f t="shared" si="8"/>
        <v>0</v>
      </c>
      <c r="H167" s="63">
        <f t="shared" si="9"/>
        <v>0</v>
      </c>
      <c r="I167" s="14" t="e">
        <f t="shared" si="10"/>
        <v>#DIV/0!</v>
      </c>
      <c r="N167" s="124" t="s">
        <v>635</v>
      </c>
      <c r="O167" s="105">
        <v>0.84027777777777701</v>
      </c>
      <c r="P167" s="104">
        <v>9.4404903123764469E-3</v>
      </c>
    </row>
    <row r="168" spans="1:16">
      <c r="A168" s="292"/>
      <c r="B168" s="8">
        <v>0.57986111111111105</v>
      </c>
      <c r="C168" s="17">
        <f>'Trading Report'!C169</f>
        <v>0</v>
      </c>
      <c r="D168" s="17">
        <f>'Trading Report'!D169</f>
        <v>0</v>
      </c>
      <c r="E168" s="17">
        <f>MQ!AD169</f>
        <v>0</v>
      </c>
      <c r="F168" s="63">
        <f t="shared" si="11"/>
        <v>0</v>
      </c>
      <c r="G168" s="63">
        <f t="shared" si="8"/>
        <v>0</v>
      </c>
      <c r="H168" s="63">
        <f t="shared" si="9"/>
        <v>0</v>
      </c>
      <c r="I168" s="14" t="e">
        <f t="shared" si="10"/>
        <v>#DIV/0!</v>
      </c>
      <c r="N168" s="124" t="s">
        <v>636</v>
      </c>
      <c r="O168" s="105">
        <v>0.26736111111111099</v>
      </c>
      <c r="P168" s="104">
        <v>9.4899169632265811E-3</v>
      </c>
    </row>
    <row r="169" spans="1:16">
      <c r="A169" s="292"/>
      <c r="B169" s="8">
        <v>0.58333333333333304</v>
      </c>
      <c r="C169" s="17">
        <f>'Trading Report'!C170</f>
        <v>0</v>
      </c>
      <c r="D169" s="17">
        <f>'Trading Report'!D170</f>
        <v>0</v>
      </c>
      <c r="E169" s="17">
        <f>MQ!AD170</f>
        <v>0</v>
      </c>
      <c r="F169" s="63">
        <f t="shared" si="11"/>
        <v>0</v>
      </c>
      <c r="G169" s="63">
        <f t="shared" si="8"/>
        <v>0</v>
      </c>
      <c r="H169" s="63">
        <f t="shared" si="9"/>
        <v>0</v>
      </c>
      <c r="I169" s="14" t="e">
        <f t="shared" si="10"/>
        <v>#DIV/0!</v>
      </c>
      <c r="N169" s="124" t="s">
        <v>637</v>
      </c>
      <c r="O169" s="105">
        <v>0.80208333333333304</v>
      </c>
      <c r="P169" s="104">
        <v>1.0107750098853292E-2</v>
      </c>
    </row>
    <row r="170" spans="1:16">
      <c r="A170" s="292" t="s">
        <v>16</v>
      </c>
      <c r="B170" s="8">
        <v>0.58680555555555503</v>
      </c>
      <c r="C170" s="17">
        <f>'Trading Report'!C171</f>
        <v>0</v>
      </c>
      <c r="D170" s="17">
        <f>'Trading Report'!D171</f>
        <v>0</v>
      </c>
      <c r="E170" s="17">
        <f>MQ!AD171</f>
        <v>0</v>
      </c>
      <c r="F170" s="63">
        <f t="shared" si="11"/>
        <v>0</v>
      </c>
      <c r="G170" s="63">
        <f t="shared" si="8"/>
        <v>0</v>
      </c>
      <c r="H170" s="63">
        <f t="shared" si="9"/>
        <v>0</v>
      </c>
      <c r="I170" s="14" t="e">
        <f t="shared" si="10"/>
        <v>#DIV/0!</v>
      </c>
      <c r="N170" s="124" t="s">
        <v>638</v>
      </c>
      <c r="O170" s="105">
        <v>0.84375</v>
      </c>
      <c r="P170" s="104">
        <v>1.0330170027678972E-2</v>
      </c>
    </row>
    <row r="171" spans="1:16">
      <c r="A171" s="292"/>
      <c r="B171" s="8">
        <v>0.59027777777777701</v>
      </c>
      <c r="C171" s="17">
        <f>'Trading Report'!C172</f>
        <v>0</v>
      </c>
      <c r="D171" s="17">
        <f>'Trading Report'!D172</f>
        <v>0</v>
      </c>
      <c r="E171" s="17">
        <f>MQ!AD172</f>
        <v>0</v>
      </c>
      <c r="F171" s="63">
        <f t="shared" si="11"/>
        <v>0</v>
      </c>
      <c r="G171" s="63">
        <f t="shared" si="8"/>
        <v>0</v>
      </c>
      <c r="H171" s="63">
        <f t="shared" si="9"/>
        <v>0</v>
      </c>
      <c r="I171" s="14" t="e">
        <f t="shared" si="10"/>
        <v>#DIV/0!</v>
      </c>
      <c r="N171" s="124" t="s">
        <v>639</v>
      </c>
      <c r="O171" s="105">
        <v>0.82986111111111105</v>
      </c>
      <c r="P171" s="104">
        <v>1.0478449980229305E-2</v>
      </c>
    </row>
    <row r="172" spans="1:16">
      <c r="A172" s="292"/>
      <c r="B172" s="8">
        <v>0.59375</v>
      </c>
      <c r="C172" s="17">
        <f>'Trading Report'!C173</f>
        <v>0</v>
      </c>
      <c r="D172" s="17">
        <f>'Trading Report'!D173</f>
        <v>0</v>
      </c>
      <c r="E172" s="17">
        <f>MQ!AD173</f>
        <v>0</v>
      </c>
      <c r="F172" s="63">
        <f t="shared" si="11"/>
        <v>0</v>
      </c>
      <c r="G172" s="63">
        <f t="shared" si="8"/>
        <v>0</v>
      </c>
      <c r="H172" s="63">
        <f t="shared" si="9"/>
        <v>0</v>
      </c>
      <c r="I172" s="14" t="e">
        <f t="shared" si="10"/>
        <v>#DIV/0!</v>
      </c>
      <c r="N172" s="124" t="s">
        <v>640</v>
      </c>
      <c r="O172" s="105">
        <v>0.77083333333333304</v>
      </c>
      <c r="P172" s="104">
        <v>1.1170423092131281E-2</v>
      </c>
    </row>
    <row r="173" spans="1:16">
      <c r="A173" s="292"/>
      <c r="B173" s="8">
        <v>0.59722222222222199</v>
      </c>
      <c r="C173" s="17">
        <f>'Trading Report'!C174</f>
        <v>0</v>
      </c>
      <c r="D173" s="17">
        <f>'Trading Report'!D174</f>
        <v>0</v>
      </c>
      <c r="E173" s="17">
        <f>MQ!AD174</f>
        <v>0</v>
      </c>
      <c r="F173" s="63">
        <f t="shared" si="11"/>
        <v>0</v>
      </c>
      <c r="G173" s="63">
        <f t="shared" si="8"/>
        <v>0</v>
      </c>
      <c r="H173" s="63">
        <f t="shared" si="9"/>
        <v>0</v>
      </c>
      <c r="I173" s="14" t="e">
        <f t="shared" si="10"/>
        <v>#DIV/0!</v>
      </c>
      <c r="N173" s="124" t="s">
        <v>641</v>
      </c>
      <c r="O173" s="105">
        <v>0.78819444444444398</v>
      </c>
      <c r="P173" s="104">
        <v>1.1195136417556349E-2</v>
      </c>
    </row>
    <row r="174" spans="1:16">
      <c r="A174" s="292"/>
      <c r="B174" s="8">
        <v>0.60069444444444398</v>
      </c>
      <c r="C174" s="17">
        <f>'Trading Report'!C175</f>
        <v>0</v>
      </c>
      <c r="D174" s="17">
        <f>'Trading Report'!D175</f>
        <v>0</v>
      </c>
      <c r="E174" s="17">
        <f>MQ!AD175</f>
        <v>0</v>
      </c>
      <c r="F174" s="63">
        <f t="shared" si="11"/>
        <v>0</v>
      </c>
      <c r="G174" s="63">
        <f t="shared" si="8"/>
        <v>0</v>
      </c>
      <c r="H174" s="63">
        <f t="shared" si="9"/>
        <v>0</v>
      </c>
      <c r="I174" s="14" t="e">
        <f t="shared" si="10"/>
        <v>#DIV/0!</v>
      </c>
      <c r="N174" s="124" t="s">
        <v>642</v>
      </c>
      <c r="O174" s="105">
        <v>0.76736111111111105</v>
      </c>
      <c r="P174" s="104">
        <v>1.2084816132858837E-2</v>
      </c>
    </row>
    <row r="175" spans="1:16">
      <c r="A175" s="292"/>
      <c r="B175" s="8">
        <v>0.60416666666666596</v>
      </c>
      <c r="C175" s="17">
        <f>'Trading Report'!C176</f>
        <v>0</v>
      </c>
      <c r="D175" s="17">
        <f>'Trading Report'!D176</f>
        <v>0</v>
      </c>
      <c r="E175" s="17">
        <f>MQ!AD176</f>
        <v>0</v>
      </c>
      <c r="F175" s="63">
        <f t="shared" si="11"/>
        <v>0</v>
      </c>
      <c r="G175" s="63">
        <f t="shared" si="8"/>
        <v>0</v>
      </c>
      <c r="H175" s="63">
        <f t="shared" si="9"/>
        <v>0</v>
      </c>
      <c r="I175" s="14" t="e">
        <f t="shared" si="10"/>
        <v>#DIV/0!</v>
      </c>
      <c r="N175" s="124" t="s">
        <v>643</v>
      </c>
      <c r="O175" s="105">
        <v>0.79513888888888895</v>
      </c>
      <c r="P175" s="104">
        <v>1.2109529458283873E-2</v>
      </c>
    </row>
    <row r="176" spans="1:16">
      <c r="A176" s="292"/>
      <c r="B176" s="8">
        <v>0.60763888888888895</v>
      </c>
      <c r="C176" s="17">
        <f>'Trading Report'!C177</f>
        <v>0</v>
      </c>
      <c r="D176" s="17">
        <f>'Trading Report'!D177</f>
        <v>0</v>
      </c>
      <c r="E176" s="17">
        <f>MQ!AD177</f>
        <v>0</v>
      </c>
      <c r="F176" s="63">
        <f t="shared" si="11"/>
        <v>0</v>
      </c>
      <c r="G176" s="63">
        <f t="shared" si="8"/>
        <v>0</v>
      </c>
      <c r="H176" s="63">
        <f t="shared" si="9"/>
        <v>0</v>
      </c>
      <c r="I176" s="14" t="e">
        <f t="shared" si="10"/>
        <v>#DIV/0!</v>
      </c>
      <c r="N176" s="124" t="s">
        <v>644</v>
      </c>
      <c r="O176" s="105">
        <v>0.77430555555555503</v>
      </c>
      <c r="P176" s="104">
        <v>1.2579082641360227E-2</v>
      </c>
    </row>
    <row r="177" spans="1:16">
      <c r="A177" s="292"/>
      <c r="B177" s="8">
        <v>0.61111111111111105</v>
      </c>
      <c r="C177" s="17">
        <f>'Trading Report'!C178</f>
        <v>0</v>
      </c>
      <c r="D177" s="17">
        <f>'Trading Report'!D178</f>
        <v>0</v>
      </c>
      <c r="E177" s="17">
        <f>MQ!AD178</f>
        <v>0</v>
      </c>
      <c r="F177" s="63">
        <f t="shared" si="11"/>
        <v>0</v>
      </c>
      <c r="G177" s="63">
        <f t="shared" si="8"/>
        <v>0</v>
      </c>
      <c r="H177" s="63">
        <f t="shared" si="9"/>
        <v>0</v>
      </c>
      <c r="I177" s="14" t="e">
        <f t="shared" si="10"/>
        <v>#DIV/0!</v>
      </c>
      <c r="N177" s="124" t="s">
        <v>645</v>
      </c>
      <c r="O177" s="105">
        <v>0.26388888888888901</v>
      </c>
      <c r="P177" s="104">
        <v>1.3295769078687148E-2</v>
      </c>
    </row>
    <row r="178" spans="1:16">
      <c r="A178" s="292"/>
      <c r="B178" s="8">
        <v>0.61458333333333304</v>
      </c>
      <c r="C178" s="17">
        <f>'Trading Report'!C179</f>
        <v>0</v>
      </c>
      <c r="D178" s="17">
        <f>'Trading Report'!D179</f>
        <v>0</v>
      </c>
      <c r="E178" s="17">
        <f>MQ!AD179</f>
        <v>0</v>
      </c>
      <c r="F178" s="63">
        <f t="shared" si="11"/>
        <v>0</v>
      </c>
      <c r="G178" s="63">
        <f t="shared" si="8"/>
        <v>0</v>
      </c>
      <c r="H178" s="63">
        <f t="shared" si="9"/>
        <v>0</v>
      </c>
      <c r="I178" s="14" t="e">
        <f t="shared" si="10"/>
        <v>#DIV/0!</v>
      </c>
      <c r="N178" s="124" t="s">
        <v>646</v>
      </c>
      <c r="O178" s="105">
        <v>0.85763888888888895</v>
      </c>
      <c r="P178" s="104">
        <v>1.3419335705812578E-2</v>
      </c>
    </row>
    <row r="179" spans="1:16">
      <c r="A179" s="292"/>
      <c r="B179" s="8">
        <v>0.61805555555555503</v>
      </c>
      <c r="C179" s="17">
        <f>'Trading Report'!C180</f>
        <v>0</v>
      </c>
      <c r="D179" s="17">
        <f>'Trading Report'!D180</f>
        <v>0</v>
      </c>
      <c r="E179" s="17">
        <f>MQ!AD180</f>
        <v>0</v>
      </c>
      <c r="F179" s="63">
        <f t="shared" si="11"/>
        <v>0</v>
      </c>
      <c r="G179" s="63">
        <f t="shared" si="8"/>
        <v>0</v>
      </c>
      <c r="H179" s="63">
        <f t="shared" si="9"/>
        <v>0</v>
      </c>
      <c r="I179" s="14" t="e">
        <f t="shared" si="10"/>
        <v>#DIV/0!</v>
      </c>
      <c r="N179" s="124" t="s">
        <v>647</v>
      </c>
      <c r="O179" s="105">
        <v>0.44097222222222199</v>
      </c>
      <c r="P179" s="104">
        <v>1.359232898378806E-2</v>
      </c>
    </row>
    <row r="180" spans="1:16">
      <c r="A180" s="292"/>
      <c r="B180" s="8">
        <v>0.62152777777777701</v>
      </c>
      <c r="C180" s="17">
        <f>'Trading Report'!C181</f>
        <v>0</v>
      </c>
      <c r="D180" s="17">
        <f>'Trading Report'!D181</f>
        <v>0</v>
      </c>
      <c r="E180" s="17">
        <f>MQ!AD181</f>
        <v>0</v>
      </c>
      <c r="F180" s="63">
        <f t="shared" si="11"/>
        <v>0</v>
      </c>
      <c r="G180" s="63">
        <f t="shared" si="8"/>
        <v>0</v>
      </c>
      <c r="H180" s="63">
        <f t="shared" si="9"/>
        <v>0</v>
      </c>
      <c r="I180" s="14" t="e">
        <f t="shared" si="10"/>
        <v>#DIV/0!</v>
      </c>
      <c r="N180" s="124" t="s">
        <v>648</v>
      </c>
      <c r="O180" s="105">
        <v>0.84722222222222199</v>
      </c>
      <c r="P180" s="104">
        <v>1.3617042309213175E-2</v>
      </c>
    </row>
    <row r="181" spans="1:16">
      <c r="A181" s="292"/>
      <c r="B181" s="8">
        <v>0.625</v>
      </c>
      <c r="C181" s="17">
        <f>'Trading Report'!C182</f>
        <v>0</v>
      </c>
      <c r="D181" s="17">
        <f>'Trading Report'!D182</f>
        <v>0</v>
      </c>
      <c r="E181" s="17">
        <f>MQ!AD182</f>
        <v>0</v>
      </c>
      <c r="F181" s="63">
        <f t="shared" si="11"/>
        <v>0</v>
      </c>
      <c r="G181" s="63">
        <f t="shared" si="8"/>
        <v>0</v>
      </c>
      <c r="H181" s="63">
        <f t="shared" si="9"/>
        <v>0</v>
      </c>
      <c r="I181" s="14" t="e">
        <f t="shared" si="10"/>
        <v>#DIV/0!</v>
      </c>
      <c r="N181" s="124" t="s">
        <v>649</v>
      </c>
      <c r="O181" s="105">
        <v>0.77777777777777701</v>
      </c>
      <c r="P181" s="104">
        <v>1.4531435349940685E-2</v>
      </c>
    </row>
    <row r="182" spans="1:16">
      <c r="A182" s="292" t="s">
        <v>17</v>
      </c>
      <c r="B182" s="8">
        <v>0.62847222222222199</v>
      </c>
      <c r="C182" s="17">
        <f>'Trading Report'!C183</f>
        <v>0</v>
      </c>
      <c r="D182" s="17">
        <f>'Trading Report'!D183</f>
        <v>0</v>
      </c>
      <c r="E182" s="17">
        <f>MQ!AD183</f>
        <v>0</v>
      </c>
      <c r="F182" s="63">
        <f t="shared" si="11"/>
        <v>0</v>
      </c>
      <c r="G182" s="63">
        <f t="shared" si="8"/>
        <v>0</v>
      </c>
      <c r="H182" s="63">
        <f t="shared" si="9"/>
        <v>0</v>
      </c>
      <c r="I182" s="14" t="e">
        <f t="shared" si="10"/>
        <v>#DIV/0!</v>
      </c>
      <c r="N182" s="124" t="s">
        <v>650</v>
      </c>
      <c r="O182" s="105">
        <v>0.85416666666666596</v>
      </c>
      <c r="P182" s="104">
        <v>1.539640173981816E-2</v>
      </c>
    </row>
    <row r="183" spans="1:16">
      <c r="A183" s="292"/>
      <c r="B183" s="8">
        <v>0.63194444444444398</v>
      </c>
      <c r="C183" s="17">
        <f>'Trading Report'!C184</f>
        <v>0</v>
      </c>
      <c r="D183" s="17">
        <f>'Trading Report'!D184</f>
        <v>0</v>
      </c>
      <c r="E183" s="17">
        <f>MQ!AD184</f>
        <v>0</v>
      </c>
      <c r="F183" s="63">
        <f t="shared" si="11"/>
        <v>0</v>
      </c>
      <c r="G183" s="63">
        <f t="shared" si="8"/>
        <v>0</v>
      </c>
      <c r="H183" s="63">
        <f t="shared" si="9"/>
        <v>0</v>
      </c>
      <c r="I183" s="14" t="e">
        <f t="shared" si="10"/>
        <v>#DIV/0!</v>
      </c>
      <c r="N183" s="124" t="s">
        <v>651</v>
      </c>
      <c r="O183" s="105">
        <v>0.88541666666666596</v>
      </c>
      <c r="P183" s="104">
        <v>1.6088374851720086E-2</v>
      </c>
    </row>
    <row r="184" spans="1:16">
      <c r="A184" s="292"/>
      <c r="B184" s="8">
        <v>0.63541666666666596</v>
      </c>
      <c r="C184" s="17">
        <f>'Trading Report'!C185</f>
        <v>0</v>
      </c>
      <c r="D184" s="17">
        <f>'Trading Report'!D185</f>
        <v>0</v>
      </c>
      <c r="E184" s="17">
        <f>MQ!AD185</f>
        <v>0</v>
      </c>
      <c r="F184" s="63">
        <f t="shared" si="11"/>
        <v>0</v>
      </c>
      <c r="G184" s="63">
        <f t="shared" si="8"/>
        <v>0</v>
      </c>
      <c r="H184" s="63">
        <f t="shared" si="9"/>
        <v>0</v>
      </c>
      <c r="I184" s="14" t="e">
        <f t="shared" si="10"/>
        <v>#DIV/0!</v>
      </c>
      <c r="N184" s="124" t="s">
        <v>652</v>
      </c>
      <c r="O184" s="105">
        <v>0.78472222222222199</v>
      </c>
      <c r="P184" s="104">
        <v>1.6508501383946234E-2</v>
      </c>
    </row>
    <row r="185" spans="1:16">
      <c r="A185" s="292"/>
      <c r="B185" s="8">
        <v>0.63888888888888895</v>
      </c>
      <c r="C185" s="17">
        <f>'Trading Report'!C186</f>
        <v>0</v>
      </c>
      <c r="D185" s="17">
        <f>'Trading Report'!D186</f>
        <v>0</v>
      </c>
      <c r="E185" s="17">
        <f>MQ!AD186</f>
        <v>0</v>
      </c>
      <c r="F185" s="63">
        <f t="shared" si="11"/>
        <v>0</v>
      </c>
      <c r="G185" s="63">
        <f t="shared" si="8"/>
        <v>0</v>
      </c>
      <c r="H185" s="63">
        <f t="shared" si="9"/>
        <v>0</v>
      </c>
      <c r="I185" s="14" t="e">
        <f t="shared" si="10"/>
        <v>#DIV/0!</v>
      </c>
      <c r="N185" s="124" t="s">
        <v>653</v>
      </c>
      <c r="O185" s="105">
        <v>0.78125</v>
      </c>
      <c r="P185" s="104">
        <v>1.7027481217872679E-2</v>
      </c>
    </row>
    <row r="186" spans="1:16">
      <c r="A186" s="292"/>
      <c r="B186" s="8">
        <v>0.64236111111111105</v>
      </c>
      <c r="C186" s="17">
        <f>'Trading Report'!C187</f>
        <v>0</v>
      </c>
      <c r="D186" s="17">
        <f>'Trading Report'!D187</f>
        <v>0</v>
      </c>
      <c r="E186" s="17">
        <f>MQ!AD187</f>
        <v>0</v>
      </c>
      <c r="F186" s="63">
        <f t="shared" si="11"/>
        <v>0</v>
      </c>
      <c r="G186" s="63">
        <f t="shared" si="8"/>
        <v>0</v>
      </c>
      <c r="H186" s="63">
        <f t="shared" si="9"/>
        <v>0</v>
      </c>
      <c r="I186" s="14" t="e">
        <f t="shared" si="10"/>
        <v>#DIV/0!</v>
      </c>
      <c r="N186" s="124" t="s">
        <v>654</v>
      </c>
      <c r="O186" s="105">
        <v>0.43402777777777801</v>
      </c>
      <c r="P186" s="104">
        <v>1.7991300909450336E-2</v>
      </c>
    </row>
    <row r="187" spans="1:16">
      <c r="A187" s="292"/>
      <c r="B187" s="8">
        <v>0.64583333333333304</v>
      </c>
      <c r="C187" s="17">
        <f>'Trading Report'!C188</f>
        <v>0</v>
      </c>
      <c r="D187" s="17">
        <f>'Trading Report'!D188</f>
        <v>0</v>
      </c>
      <c r="E187" s="17">
        <f>MQ!AD188</f>
        <v>0</v>
      </c>
      <c r="F187" s="63">
        <f t="shared" si="11"/>
        <v>0</v>
      </c>
      <c r="G187" s="63">
        <f t="shared" si="8"/>
        <v>0</v>
      </c>
      <c r="H187" s="63">
        <f t="shared" si="9"/>
        <v>0</v>
      </c>
      <c r="I187" s="14" t="e">
        <f t="shared" si="10"/>
        <v>#DIV/0!</v>
      </c>
      <c r="N187" s="124" t="s">
        <v>655</v>
      </c>
      <c r="O187" s="105">
        <v>0.32986111111111099</v>
      </c>
      <c r="P187" s="104">
        <v>1.8683274021352309E-2</v>
      </c>
    </row>
    <row r="188" spans="1:16">
      <c r="A188" s="292"/>
      <c r="B188" s="8">
        <v>0.64930555555555503</v>
      </c>
      <c r="C188" s="17">
        <f>'Trading Report'!C189</f>
        <v>0</v>
      </c>
      <c r="D188" s="17">
        <f>'Trading Report'!D189</f>
        <v>0</v>
      </c>
      <c r="E188" s="17">
        <f>MQ!AD189</f>
        <v>0</v>
      </c>
      <c r="F188" s="63">
        <f t="shared" si="11"/>
        <v>0</v>
      </c>
      <c r="G188" s="63">
        <f t="shared" si="8"/>
        <v>0</v>
      </c>
      <c r="H188" s="63">
        <f t="shared" si="9"/>
        <v>0</v>
      </c>
      <c r="I188" s="14" t="e">
        <f t="shared" si="10"/>
        <v>#DIV/0!</v>
      </c>
      <c r="N188" s="124" t="s">
        <v>656</v>
      </c>
      <c r="O188" s="105">
        <v>0.81944444444444398</v>
      </c>
      <c r="P188" s="104">
        <v>2.0437920126532182E-2</v>
      </c>
    </row>
    <row r="189" spans="1:16">
      <c r="A189" s="292"/>
      <c r="B189" s="8">
        <v>0.65277777777777701</v>
      </c>
      <c r="C189" s="17">
        <f>'Trading Report'!C190</f>
        <v>0</v>
      </c>
      <c r="D189" s="17">
        <f>'Trading Report'!D190</f>
        <v>0</v>
      </c>
      <c r="E189" s="17">
        <f>MQ!AD190</f>
        <v>0</v>
      </c>
      <c r="F189" s="63">
        <f t="shared" si="11"/>
        <v>0</v>
      </c>
      <c r="G189" s="63">
        <f t="shared" si="8"/>
        <v>0</v>
      </c>
      <c r="H189" s="63">
        <f t="shared" si="9"/>
        <v>0</v>
      </c>
      <c r="I189" s="14" t="e">
        <f t="shared" si="10"/>
        <v>#DIV/0!</v>
      </c>
      <c r="N189" s="124" t="s">
        <v>657</v>
      </c>
      <c r="O189" s="105">
        <v>0.86458333333333304</v>
      </c>
      <c r="P189" s="104">
        <v>2.0932186635033576E-2</v>
      </c>
    </row>
    <row r="190" spans="1:16">
      <c r="A190" s="292"/>
      <c r="B190" s="8">
        <v>0.65625</v>
      </c>
      <c r="C190" s="17">
        <f>'Trading Report'!C191</f>
        <v>0</v>
      </c>
      <c r="D190" s="17">
        <f>'Trading Report'!D191</f>
        <v>0</v>
      </c>
      <c r="E190" s="17">
        <f>MQ!AD191</f>
        <v>0</v>
      </c>
      <c r="F190" s="63">
        <f t="shared" si="11"/>
        <v>0</v>
      </c>
      <c r="G190" s="63">
        <f t="shared" si="8"/>
        <v>0</v>
      </c>
      <c r="H190" s="63">
        <f t="shared" si="9"/>
        <v>0</v>
      </c>
      <c r="I190" s="14" t="e">
        <f t="shared" si="10"/>
        <v>#DIV/0!</v>
      </c>
      <c r="N190" s="124" t="s">
        <v>658</v>
      </c>
      <c r="O190" s="105">
        <v>0.52083333333333304</v>
      </c>
      <c r="P190" s="104">
        <v>2.1797153024911035E-2</v>
      </c>
    </row>
    <row r="191" spans="1:16">
      <c r="A191" s="292"/>
      <c r="B191" s="8">
        <v>0.65972222222222199</v>
      </c>
      <c r="C191" s="17">
        <f>'Trading Report'!C192</f>
        <v>0</v>
      </c>
      <c r="D191" s="17">
        <f>'Trading Report'!D192</f>
        <v>0</v>
      </c>
      <c r="E191" s="17">
        <f>MQ!AD192</f>
        <v>0</v>
      </c>
      <c r="F191" s="63">
        <f t="shared" si="11"/>
        <v>0</v>
      </c>
      <c r="G191" s="63">
        <f t="shared" si="8"/>
        <v>0</v>
      </c>
      <c r="H191" s="63">
        <f t="shared" si="9"/>
        <v>0</v>
      </c>
      <c r="I191" s="14" t="e">
        <f t="shared" si="10"/>
        <v>#DIV/0!</v>
      </c>
      <c r="N191" s="124" t="s">
        <v>659</v>
      </c>
      <c r="O191" s="105">
        <v>0.28125</v>
      </c>
      <c r="P191" s="104">
        <v>2.19701463028865E-2</v>
      </c>
    </row>
    <row r="192" spans="1:16">
      <c r="A192" s="292"/>
      <c r="B192" s="8">
        <v>0.66319444444444398</v>
      </c>
      <c r="C192" s="17">
        <f>'Trading Report'!C193</f>
        <v>0</v>
      </c>
      <c r="D192" s="17">
        <f>'Trading Report'!D193</f>
        <v>0</v>
      </c>
      <c r="E192" s="17">
        <f>MQ!AD193</f>
        <v>0</v>
      </c>
      <c r="F192" s="63">
        <f t="shared" si="11"/>
        <v>0</v>
      </c>
      <c r="G192" s="63">
        <f t="shared" si="8"/>
        <v>0</v>
      </c>
      <c r="H192" s="63">
        <f t="shared" si="9"/>
        <v>0</v>
      </c>
      <c r="I192" s="14" t="e">
        <f t="shared" si="10"/>
        <v>#DIV/0!</v>
      </c>
      <c r="N192" s="124" t="s">
        <v>660</v>
      </c>
      <c r="O192" s="105">
        <v>0.25347222222222199</v>
      </c>
      <c r="P192" s="104">
        <v>2.2736259391063659E-2</v>
      </c>
    </row>
    <row r="193" spans="1:16">
      <c r="A193" s="292"/>
      <c r="B193" s="8">
        <v>0.66666666666666596</v>
      </c>
      <c r="C193" s="17">
        <f>'Trading Report'!C194</f>
        <v>0</v>
      </c>
      <c r="D193" s="17">
        <f>'Trading Report'!D194</f>
        <v>0</v>
      </c>
      <c r="E193" s="17">
        <f>MQ!AD194</f>
        <v>0</v>
      </c>
      <c r="F193" s="63">
        <f t="shared" si="11"/>
        <v>0</v>
      </c>
      <c r="G193" s="63">
        <f t="shared" si="8"/>
        <v>0</v>
      </c>
      <c r="H193" s="63">
        <f t="shared" si="9"/>
        <v>0</v>
      </c>
      <c r="I193" s="14" t="e">
        <f t="shared" si="10"/>
        <v>#DIV/0!</v>
      </c>
      <c r="N193" s="124" t="s">
        <v>661</v>
      </c>
      <c r="O193" s="105">
        <v>0.46875</v>
      </c>
      <c r="P193" s="104">
        <v>2.3378805852115585E-2</v>
      </c>
    </row>
    <row r="194" spans="1:16">
      <c r="A194" s="292" t="s">
        <v>18</v>
      </c>
      <c r="B194" s="8">
        <v>0.67013888888888895</v>
      </c>
      <c r="C194" s="17">
        <f>'Trading Report'!C195</f>
        <v>0</v>
      </c>
      <c r="D194" s="17">
        <f>'Trading Report'!D195</f>
        <v>0</v>
      </c>
      <c r="E194" s="17">
        <f>MQ!AD195</f>
        <v>0</v>
      </c>
      <c r="F194" s="63">
        <f t="shared" si="11"/>
        <v>0</v>
      </c>
      <c r="G194" s="63">
        <f t="shared" si="8"/>
        <v>0</v>
      </c>
      <c r="H194" s="63">
        <f t="shared" si="9"/>
        <v>0</v>
      </c>
      <c r="I194" s="14" t="e">
        <f t="shared" si="10"/>
        <v>#DIV/0!</v>
      </c>
      <c r="N194" s="124" t="s">
        <v>662</v>
      </c>
      <c r="O194" s="105">
        <v>1</v>
      </c>
      <c r="P194" s="104">
        <v>2.3897785686042016E-2</v>
      </c>
    </row>
    <row r="195" spans="1:16">
      <c r="A195" s="292"/>
      <c r="B195" s="8">
        <v>0.67361111111111105</v>
      </c>
      <c r="C195" s="17">
        <f>'Trading Report'!C196</f>
        <v>0</v>
      </c>
      <c r="D195" s="17">
        <f>'Trading Report'!D196</f>
        <v>0</v>
      </c>
      <c r="E195" s="17">
        <f>MQ!AD196</f>
        <v>0</v>
      </c>
      <c r="F195" s="63">
        <f t="shared" si="11"/>
        <v>0</v>
      </c>
      <c r="G195" s="63">
        <f t="shared" ref="G195:G258" si="12">(1/12)*((F195+C195)/2)</f>
        <v>0</v>
      </c>
      <c r="H195" s="63">
        <f t="shared" ref="H195:H258" si="13">MAX($E$2:$E$289)</f>
        <v>0</v>
      </c>
      <c r="I195" s="14" t="e">
        <f t="shared" ref="I195:I258" si="14">ABS((G195-E195)/H195)</f>
        <v>#DIV/0!</v>
      </c>
      <c r="N195" s="124" t="s">
        <v>663</v>
      </c>
      <c r="O195" s="105">
        <v>0.86805555555555503</v>
      </c>
      <c r="P195" s="104">
        <v>2.4688612099644076E-2</v>
      </c>
    </row>
    <row r="196" spans="1:16">
      <c r="A196" s="292"/>
      <c r="B196" s="8">
        <v>0.67708333333333304</v>
      </c>
      <c r="C196" s="17">
        <f>'Trading Report'!C197</f>
        <v>0</v>
      </c>
      <c r="D196" s="17">
        <f>'Trading Report'!D197</f>
        <v>0</v>
      </c>
      <c r="E196" s="17">
        <f>MQ!AD197</f>
        <v>0</v>
      </c>
      <c r="F196" s="63">
        <f t="shared" ref="F196:F259" si="15">C195</f>
        <v>0</v>
      </c>
      <c r="G196" s="63">
        <f t="shared" si="12"/>
        <v>0</v>
      </c>
      <c r="H196" s="63">
        <f t="shared" si="13"/>
        <v>0</v>
      </c>
      <c r="I196" s="14" t="e">
        <f t="shared" si="14"/>
        <v>#DIV/0!</v>
      </c>
      <c r="N196" s="124" t="s">
        <v>664</v>
      </c>
      <c r="O196" s="105">
        <v>0.60763888888888895</v>
      </c>
      <c r="P196" s="104">
        <v>2.562771846579676E-2</v>
      </c>
    </row>
    <row r="197" spans="1:16">
      <c r="A197" s="292"/>
      <c r="B197" s="8">
        <v>0.68055555555555503</v>
      </c>
      <c r="C197" s="17">
        <f>'Trading Report'!C198</f>
        <v>0</v>
      </c>
      <c r="D197" s="17">
        <f>'Trading Report'!D198</f>
        <v>0</v>
      </c>
      <c r="E197" s="17">
        <f>MQ!AD198</f>
        <v>0</v>
      </c>
      <c r="F197" s="63">
        <f t="shared" si="15"/>
        <v>0</v>
      </c>
      <c r="G197" s="63">
        <f t="shared" si="12"/>
        <v>0</v>
      </c>
      <c r="H197" s="63">
        <f t="shared" si="13"/>
        <v>0</v>
      </c>
      <c r="I197" s="14" t="e">
        <f t="shared" si="14"/>
        <v>#DIV/0!</v>
      </c>
      <c r="N197" s="124" t="s">
        <v>665</v>
      </c>
      <c r="O197" s="105">
        <v>0.42361111111111099</v>
      </c>
      <c r="P197" s="104">
        <v>2.7357651245551718E-2</v>
      </c>
    </row>
    <row r="198" spans="1:16">
      <c r="A198" s="292"/>
      <c r="B198" s="8">
        <v>0.68402777777777701</v>
      </c>
      <c r="C198" s="17">
        <f>'Trading Report'!C199</f>
        <v>0</v>
      </c>
      <c r="D198" s="17">
        <f>'Trading Report'!D199</f>
        <v>0</v>
      </c>
      <c r="E198" s="17">
        <f>MQ!AD199</f>
        <v>0</v>
      </c>
      <c r="F198" s="63">
        <f t="shared" si="15"/>
        <v>0</v>
      </c>
      <c r="G198" s="63">
        <f t="shared" si="12"/>
        <v>0</v>
      </c>
      <c r="H198" s="63">
        <f t="shared" si="13"/>
        <v>0</v>
      </c>
      <c r="I198" s="14" t="e">
        <f t="shared" si="14"/>
        <v>#DIV/0!</v>
      </c>
      <c r="N198" s="124" t="s">
        <v>666</v>
      </c>
      <c r="O198" s="105">
        <v>0.53472222222222199</v>
      </c>
      <c r="P198" s="104">
        <v>3.2522736259391102E-2</v>
      </c>
    </row>
    <row r="199" spans="1:16">
      <c r="A199" s="292"/>
      <c r="B199" s="8">
        <v>0.6875</v>
      </c>
      <c r="C199" s="17">
        <f>'Trading Report'!C200</f>
        <v>0</v>
      </c>
      <c r="D199" s="17">
        <f>'Trading Report'!D200</f>
        <v>0</v>
      </c>
      <c r="E199" s="17">
        <f>MQ!AD200</f>
        <v>0</v>
      </c>
      <c r="F199" s="63">
        <f t="shared" si="15"/>
        <v>0</v>
      </c>
      <c r="G199" s="63">
        <f t="shared" si="12"/>
        <v>0</v>
      </c>
      <c r="H199" s="63">
        <f t="shared" si="13"/>
        <v>0</v>
      </c>
      <c r="I199" s="14" t="e">
        <f t="shared" si="14"/>
        <v>#DIV/0!</v>
      </c>
      <c r="N199" s="124" t="s">
        <v>667</v>
      </c>
      <c r="O199" s="105">
        <v>0.67013888888888895</v>
      </c>
      <c r="P199" s="104">
        <v>3.3115856069592726E-2</v>
      </c>
    </row>
    <row r="200" spans="1:16">
      <c r="A200" s="292"/>
      <c r="B200" s="8">
        <v>0.69097222222222199</v>
      </c>
      <c r="C200" s="17">
        <f>'Trading Report'!C201</f>
        <v>0</v>
      </c>
      <c r="D200" s="17">
        <f>'Trading Report'!D201</f>
        <v>0</v>
      </c>
      <c r="E200" s="17">
        <f>MQ!AD201</f>
        <v>0</v>
      </c>
      <c r="F200" s="63">
        <f t="shared" si="15"/>
        <v>0</v>
      </c>
      <c r="G200" s="63">
        <f t="shared" si="12"/>
        <v>0</v>
      </c>
      <c r="H200" s="63">
        <f t="shared" si="13"/>
        <v>0</v>
      </c>
      <c r="I200" s="14" t="e">
        <f t="shared" si="14"/>
        <v>#DIV/0!</v>
      </c>
      <c r="N200" s="124" t="s">
        <v>668</v>
      </c>
      <c r="O200" s="105">
        <v>0.74305555555555503</v>
      </c>
      <c r="P200" s="104">
        <v>3.4845788849347616E-2</v>
      </c>
    </row>
    <row r="201" spans="1:16">
      <c r="A201" s="292"/>
      <c r="B201" s="8">
        <v>0.69444444444444398</v>
      </c>
      <c r="C201" s="17">
        <f>'Trading Report'!C202</f>
        <v>0</v>
      </c>
      <c r="D201" s="17">
        <f>'Trading Report'!D202</f>
        <v>0</v>
      </c>
      <c r="E201" s="17">
        <f>MQ!AD202</f>
        <v>0</v>
      </c>
      <c r="F201" s="63">
        <f t="shared" si="15"/>
        <v>0</v>
      </c>
      <c r="G201" s="63">
        <f t="shared" si="12"/>
        <v>0</v>
      </c>
      <c r="H201" s="63">
        <f t="shared" si="13"/>
        <v>0</v>
      </c>
      <c r="I201" s="14" t="e">
        <f t="shared" si="14"/>
        <v>#DIV/0!</v>
      </c>
      <c r="N201" s="124" t="s">
        <v>669</v>
      </c>
      <c r="O201" s="105">
        <v>0.72916666666666596</v>
      </c>
      <c r="P201" s="104">
        <v>3.4944642151047881E-2</v>
      </c>
    </row>
    <row r="202" spans="1:16">
      <c r="A202" s="292"/>
      <c r="B202" s="8">
        <v>0.69791666666666596</v>
      </c>
      <c r="C202" s="17">
        <f>'Trading Report'!C203</f>
        <v>0</v>
      </c>
      <c r="D202" s="17">
        <f>'Trading Report'!D203</f>
        <v>0</v>
      </c>
      <c r="E202" s="17">
        <f>MQ!AD203</f>
        <v>0</v>
      </c>
      <c r="F202" s="63">
        <f t="shared" si="15"/>
        <v>0</v>
      </c>
      <c r="G202" s="63">
        <f t="shared" si="12"/>
        <v>0</v>
      </c>
      <c r="H202" s="63">
        <f t="shared" si="13"/>
        <v>0</v>
      </c>
      <c r="I202" s="14" t="e">
        <f t="shared" si="14"/>
        <v>#DIV/0!</v>
      </c>
      <c r="N202" s="124" t="s">
        <v>670</v>
      </c>
      <c r="O202" s="105">
        <v>0.75</v>
      </c>
      <c r="P202" s="104">
        <v>3.6971134835903662E-2</v>
      </c>
    </row>
    <row r="203" spans="1:16">
      <c r="A203" s="292"/>
      <c r="B203" s="8">
        <v>0.70138888888888895</v>
      </c>
      <c r="C203" s="17">
        <f>'Trading Report'!C204</f>
        <v>0</v>
      </c>
      <c r="D203" s="17">
        <f>'Trading Report'!D204</f>
        <v>0</v>
      </c>
      <c r="E203" s="17">
        <f>MQ!AD204</f>
        <v>0</v>
      </c>
      <c r="F203" s="63">
        <f t="shared" si="15"/>
        <v>0</v>
      </c>
      <c r="G203" s="63">
        <f t="shared" si="12"/>
        <v>0</v>
      </c>
      <c r="H203" s="63">
        <f t="shared" si="13"/>
        <v>0</v>
      </c>
      <c r="I203" s="14" t="e">
        <f t="shared" si="14"/>
        <v>#DIV/0!</v>
      </c>
      <c r="N203" s="124" t="s">
        <v>671</v>
      </c>
      <c r="O203" s="105">
        <v>0.87847222222222199</v>
      </c>
      <c r="P203" s="104">
        <v>3.8280941083432156E-2</v>
      </c>
    </row>
    <row r="204" spans="1:16">
      <c r="A204" s="292"/>
      <c r="B204" s="8">
        <v>0.70486111111111105</v>
      </c>
      <c r="C204" s="17">
        <f>'Trading Report'!C205</f>
        <v>0</v>
      </c>
      <c r="D204" s="17">
        <f>'Trading Report'!D205</f>
        <v>0</v>
      </c>
      <c r="E204" s="17">
        <f>MQ!AD205</f>
        <v>0</v>
      </c>
      <c r="F204" s="63">
        <f t="shared" si="15"/>
        <v>0</v>
      </c>
      <c r="G204" s="63">
        <f t="shared" si="12"/>
        <v>0</v>
      </c>
      <c r="H204" s="63">
        <f t="shared" si="13"/>
        <v>0</v>
      </c>
      <c r="I204" s="14" t="e">
        <f t="shared" si="14"/>
        <v>#DIV/0!</v>
      </c>
      <c r="N204" s="124" t="s">
        <v>672</v>
      </c>
      <c r="O204" s="105">
        <v>0.46527777777777801</v>
      </c>
      <c r="P204" s="104">
        <v>3.9318900751285212E-2</v>
      </c>
    </row>
    <row r="205" spans="1:16">
      <c r="A205" s="292"/>
      <c r="B205" s="8">
        <v>0.70833333333333304</v>
      </c>
      <c r="C205" s="17">
        <f>'Trading Report'!C206</f>
        <v>0</v>
      </c>
      <c r="D205" s="17">
        <f>'Trading Report'!D206</f>
        <v>0</v>
      </c>
      <c r="E205" s="17">
        <f>MQ!AD206</f>
        <v>0</v>
      </c>
      <c r="F205" s="63">
        <f t="shared" si="15"/>
        <v>0</v>
      </c>
      <c r="G205" s="63">
        <f t="shared" si="12"/>
        <v>0</v>
      </c>
      <c r="H205" s="63">
        <f t="shared" si="13"/>
        <v>0</v>
      </c>
      <c r="I205" s="14" t="e">
        <f t="shared" si="14"/>
        <v>#DIV/0!</v>
      </c>
      <c r="N205" s="124" t="s">
        <v>673</v>
      </c>
      <c r="O205" s="105">
        <v>0.88194444444444398</v>
      </c>
      <c r="P205" s="104">
        <v>4.0801700276789199E-2</v>
      </c>
    </row>
    <row r="206" spans="1:16">
      <c r="A206" s="292" t="s">
        <v>19</v>
      </c>
      <c r="B206" s="8">
        <v>0.71180555555555503</v>
      </c>
      <c r="C206" s="17">
        <f>'Trading Report'!C207</f>
        <v>0</v>
      </c>
      <c r="D206" s="17">
        <f>'Trading Report'!D207</f>
        <v>0</v>
      </c>
      <c r="E206" s="17">
        <f>MQ!AD207</f>
        <v>0</v>
      </c>
      <c r="F206" s="63">
        <f t="shared" si="15"/>
        <v>0</v>
      </c>
      <c r="G206" s="63">
        <f t="shared" si="12"/>
        <v>0</v>
      </c>
      <c r="H206" s="63">
        <f t="shared" si="13"/>
        <v>0</v>
      </c>
      <c r="I206" s="14" t="e">
        <f t="shared" si="14"/>
        <v>#DIV/0!</v>
      </c>
      <c r="N206" s="124" t="s">
        <v>674</v>
      </c>
      <c r="O206" s="105">
        <v>0.65972222222222199</v>
      </c>
      <c r="P206" s="104">
        <v>4.1913799920917365E-2</v>
      </c>
    </row>
    <row r="207" spans="1:16">
      <c r="A207" s="292"/>
      <c r="B207" s="8">
        <v>0.71527777777777701</v>
      </c>
      <c r="C207" s="17">
        <f>'Trading Report'!C208</f>
        <v>0</v>
      </c>
      <c r="D207" s="17">
        <f>'Trading Report'!D208</f>
        <v>0</v>
      </c>
      <c r="E207" s="17">
        <f>MQ!AD208</f>
        <v>0</v>
      </c>
      <c r="F207" s="63">
        <f t="shared" si="15"/>
        <v>0</v>
      </c>
      <c r="G207" s="63">
        <f t="shared" si="12"/>
        <v>0</v>
      </c>
      <c r="H207" s="63">
        <f t="shared" si="13"/>
        <v>0</v>
      </c>
      <c r="I207" s="14" t="e">
        <f t="shared" si="14"/>
        <v>#DIV/0!</v>
      </c>
      <c r="N207" s="124" t="s">
        <v>675</v>
      </c>
      <c r="O207" s="105">
        <v>0.75347222222222199</v>
      </c>
      <c r="P207" s="104">
        <v>4.2284499802293318E-2</v>
      </c>
    </row>
    <row r="208" spans="1:16">
      <c r="A208" s="292"/>
      <c r="B208" s="8">
        <v>0.71875</v>
      </c>
      <c r="C208" s="17">
        <f>'Trading Report'!C209</f>
        <v>0</v>
      </c>
      <c r="D208" s="17">
        <f>'Trading Report'!D209</f>
        <v>0</v>
      </c>
      <c r="E208" s="17">
        <f>MQ!AD209</f>
        <v>0</v>
      </c>
      <c r="F208" s="63">
        <f t="shared" si="15"/>
        <v>0</v>
      </c>
      <c r="G208" s="63">
        <f t="shared" si="12"/>
        <v>0</v>
      </c>
      <c r="H208" s="63">
        <f t="shared" si="13"/>
        <v>0</v>
      </c>
      <c r="I208" s="14" t="e">
        <f t="shared" si="14"/>
        <v>#DIV/0!</v>
      </c>
      <c r="N208" s="124" t="s">
        <v>676</v>
      </c>
      <c r="O208" s="105">
        <v>0.625</v>
      </c>
      <c r="P208" s="104">
        <v>4.2358639778568581E-2</v>
      </c>
    </row>
    <row r="209" spans="1:16">
      <c r="A209" s="292"/>
      <c r="B209" s="8">
        <v>0.72222222222222199</v>
      </c>
      <c r="C209" s="17">
        <f>'Trading Report'!C210</f>
        <v>0</v>
      </c>
      <c r="D209" s="17">
        <f>'Trading Report'!D210</f>
        <v>0</v>
      </c>
      <c r="E209" s="17">
        <f>MQ!AD210</f>
        <v>0</v>
      </c>
      <c r="F209" s="63">
        <f t="shared" si="15"/>
        <v>0</v>
      </c>
      <c r="G209" s="63">
        <f t="shared" si="12"/>
        <v>0</v>
      </c>
      <c r="H209" s="63">
        <f t="shared" si="13"/>
        <v>0</v>
      </c>
      <c r="I209" s="14" t="e">
        <f t="shared" si="14"/>
        <v>#DIV/0!</v>
      </c>
      <c r="N209" s="124" t="s">
        <v>677</v>
      </c>
      <c r="O209" s="105">
        <v>0.65277777777777701</v>
      </c>
      <c r="P209" s="104">
        <v>4.3421312771846576E-2</v>
      </c>
    </row>
    <row r="210" spans="1:16">
      <c r="A210" s="292"/>
      <c r="B210" s="8">
        <v>0.72569444444444398</v>
      </c>
      <c r="C210" s="17">
        <f>'Trading Report'!C211</f>
        <v>0</v>
      </c>
      <c r="D210" s="17">
        <f>'Trading Report'!D211</f>
        <v>0</v>
      </c>
      <c r="E210" s="17">
        <f>MQ!AD211</f>
        <v>0</v>
      </c>
      <c r="F210" s="63">
        <f t="shared" si="15"/>
        <v>0</v>
      </c>
      <c r="G210" s="63">
        <f t="shared" si="12"/>
        <v>0</v>
      </c>
      <c r="H210" s="63">
        <f t="shared" si="13"/>
        <v>0</v>
      </c>
      <c r="I210" s="14" t="e">
        <f t="shared" si="14"/>
        <v>#DIV/0!</v>
      </c>
      <c r="N210" s="124" t="s">
        <v>678</v>
      </c>
      <c r="O210" s="105">
        <v>0.57986111111111105</v>
      </c>
      <c r="P210" s="104">
        <v>4.3594306049822062E-2</v>
      </c>
    </row>
    <row r="211" spans="1:16">
      <c r="A211" s="292"/>
      <c r="B211" s="8">
        <v>0.72916666666666596</v>
      </c>
      <c r="C211" s="17">
        <f>'Trading Report'!C212</f>
        <v>0</v>
      </c>
      <c r="D211" s="17">
        <f>'Trading Report'!D212</f>
        <v>0</v>
      </c>
      <c r="E211" s="17">
        <f>MQ!AD212</f>
        <v>0</v>
      </c>
      <c r="F211" s="63">
        <f t="shared" si="15"/>
        <v>0</v>
      </c>
      <c r="G211" s="63">
        <f t="shared" si="12"/>
        <v>0</v>
      </c>
      <c r="H211" s="63">
        <f t="shared" si="13"/>
        <v>0</v>
      </c>
      <c r="I211" s="14" t="e">
        <f t="shared" si="14"/>
        <v>#DIV/0!</v>
      </c>
      <c r="N211" s="124" t="s">
        <v>679</v>
      </c>
      <c r="O211" s="105">
        <v>0.46180555555555503</v>
      </c>
      <c r="P211" s="104">
        <v>4.4360419137999207E-2</v>
      </c>
    </row>
    <row r="212" spans="1:16">
      <c r="A212" s="292"/>
      <c r="B212" s="8">
        <v>0.73263888888888895</v>
      </c>
      <c r="C212" s="17">
        <f>'Trading Report'!C213</f>
        <v>0</v>
      </c>
      <c r="D212" s="17">
        <f>'Trading Report'!D213</f>
        <v>0</v>
      </c>
      <c r="E212" s="17">
        <f>MQ!AD213</f>
        <v>0</v>
      </c>
      <c r="F212" s="63">
        <f t="shared" si="15"/>
        <v>0</v>
      </c>
      <c r="G212" s="63">
        <f t="shared" si="12"/>
        <v>0</v>
      </c>
      <c r="H212" s="63">
        <f t="shared" si="13"/>
        <v>0</v>
      </c>
      <c r="I212" s="14" t="e">
        <f t="shared" si="14"/>
        <v>#DIV/0!</v>
      </c>
      <c r="N212" s="124" t="s">
        <v>680</v>
      </c>
      <c r="O212" s="105">
        <v>0.71875</v>
      </c>
      <c r="P212" s="104">
        <v>4.5793792012653226E-2</v>
      </c>
    </row>
    <row r="213" spans="1:16">
      <c r="A213" s="292"/>
      <c r="B213" s="8">
        <v>0.73611111111111105</v>
      </c>
      <c r="C213" s="17">
        <f>'Trading Report'!C214</f>
        <v>0</v>
      </c>
      <c r="D213" s="17">
        <f>'Trading Report'!D214</f>
        <v>0</v>
      </c>
      <c r="E213" s="17">
        <f>MQ!AD214</f>
        <v>0</v>
      </c>
      <c r="F213" s="63">
        <f t="shared" si="15"/>
        <v>0</v>
      </c>
      <c r="G213" s="63">
        <f t="shared" si="12"/>
        <v>0</v>
      </c>
      <c r="H213" s="63">
        <f t="shared" si="13"/>
        <v>0</v>
      </c>
      <c r="I213" s="14" t="e">
        <f t="shared" si="14"/>
        <v>#DIV/0!</v>
      </c>
      <c r="N213" s="124" t="s">
        <v>681</v>
      </c>
      <c r="O213" s="105">
        <v>0.4375</v>
      </c>
      <c r="P213" s="104">
        <v>4.6213918544879398E-2</v>
      </c>
    </row>
    <row r="214" spans="1:16">
      <c r="A214" s="292"/>
      <c r="B214" s="8">
        <v>0.73958333333333304</v>
      </c>
      <c r="C214" s="17">
        <f>'Trading Report'!C215</f>
        <v>0</v>
      </c>
      <c r="D214" s="17">
        <f>'Trading Report'!D215</f>
        <v>0</v>
      </c>
      <c r="E214" s="17">
        <f>MQ!AD215</f>
        <v>0</v>
      </c>
      <c r="F214" s="63">
        <f t="shared" si="15"/>
        <v>0</v>
      </c>
      <c r="G214" s="63">
        <f t="shared" si="12"/>
        <v>0</v>
      </c>
      <c r="H214" s="63">
        <f t="shared" si="13"/>
        <v>0</v>
      </c>
      <c r="I214" s="14" t="e">
        <f t="shared" si="14"/>
        <v>#DIV/0!</v>
      </c>
      <c r="N214" s="124" t="s">
        <v>682</v>
      </c>
      <c r="O214" s="105">
        <v>0.47222222222222199</v>
      </c>
      <c r="P214" s="104">
        <v>4.8611111111111258E-2</v>
      </c>
    </row>
    <row r="215" spans="1:16">
      <c r="A215" s="292"/>
      <c r="B215" s="8">
        <v>0.74305555555555503</v>
      </c>
      <c r="C215" s="17">
        <f>'Trading Report'!C216</f>
        <v>0</v>
      </c>
      <c r="D215" s="17">
        <f>'Trading Report'!D216</f>
        <v>0</v>
      </c>
      <c r="E215" s="17">
        <f>MQ!AD216</f>
        <v>0</v>
      </c>
      <c r="F215" s="63">
        <f t="shared" si="15"/>
        <v>0</v>
      </c>
      <c r="G215" s="63">
        <f t="shared" si="12"/>
        <v>0</v>
      </c>
      <c r="H215" s="63">
        <f t="shared" si="13"/>
        <v>0</v>
      </c>
      <c r="I215" s="14" t="e">
        <f t="shared" si="14"/>
        <v>#DIV/0!</v>
      </c>
      <c r="N215" s="124" t="s">
        <v>683</v>
      </c>
      <c r="O215" s="105">
        <v>0.88888888888888895</v>
      </c>
      <c r="P215" s="104">
        <v>4.9723210755239153E-2</v>
      </c>
    </row>
    <row r="216" spans="1:16">
      <c r="A216" s="292"/>
      <c r="B216" s="8">
        <v>0.74652777777777701</v>
      </c>
      <c r="C216" s="17">
        <f>'Trading Report'!C217</f>
        <v>0</v>
      </c>
      <c r="D216" s="17">
        <f>'Trading Report'!D217</f>
        <v>0</v>
      </c>
      <c r="E216" s="17">
        <f>MQ!AD217</f>
        <v>0</v>
      </c>
      <c r="F216" s="63">
        <f t="shared" si="15"/>
        <v>0</v>
      </c>
      <c r="G216" s="63">
        <f t="shared" si="12"/>
        <v>0</v>
      </c>
      <c r="H216" s="63">
        <f t="shared" si="13"/>
        <v>0</v>
      </c>
      <c r="I216" s="14" t="e">
        <f t="shared" si="14"/>
        <v>#DIV/0!</v>
      </c>
      <c r="N216" s="124" t="s">
        <v>684</v>
      </c>
      <c r="O216" s="105">
        <v>0.33333333333333298</v>
      </c>
      <c r="P216" s="104">
        <v>5.0514037168841439E-2</v>
      </c>
    </row>
    <row r="217" spans="1:16">
      <c r="A217" s="292"/>
      <c r="B217" s="8">
        <v>0.75</v>
      </c>
      <c r="C217" s="17">
        <f>'Trading Report'!C218</f>
        <v>0</v>
      </c>
      <c r="D217" s="17">
        <f>'Trading Report'!D218</f>
        <v>0</v>
      </c>
      <c r="E217" s="17">
        <f>MQ!AD218</f>
        <v>0</v>
      </c>
      <c r="F217" s="63">
        <f t="shared" si="15"/>
        <v>0</v>
      </c>
      <c r="G217" s="63">
        <f t="shared" si="12"/>
        <v>0</v>
      </c>
      <c r="H217" s="63">
        <f t="shared" si="13"/>
        <v>0</v>
      </c>
      <c r="I217" s="14" t="e">
        <f t="shared" si="14"/>
        <v>#DIV/0!</v>
      </c>
      <c r="N217" s="124" t="s">
        <v>685</v>
      </c>
      <c r="O217" s="105">
        <v>0.51388888888888895</v>
      </c>
      <c r="P217" s="104">
        <v>5.2342823250296544E-2</v>
      </c>
    </row>
    <row r="218" spans="1:16">
      <c r="A218" s="292" t="s">
        <v>20</v>
      </c>
      <c r="B218" s="8">
        <v>0.75347222222222199</v>
      </c>
      <c r="C218" s="17">
        <f>'Trading Report'!C219</f>
        <v>0</v>
      </c>
      <c r="D218" s="17">
        <f>'Trading Report'!D219</f>
        <v>0</v>
      </c>
      <c r="E218" s="17">
        <f>MQ!AD219</f>
        <v>0</v>
      </c>
      <c r="F218" s="63">
        <f t="shared" si="15"/>
        <v>0</v>
      </c>
      <c r="G218" s="63">
        <f t="shared" si="12"/>
        <v>0</v>
      </c>
      <c r="H218" s="63">
        <f t="shared" si="13"/>
        <v>0</v>
      </c>
      <c r="I218" s="14" t="e">
        <f t="shared" si="14"/>
        <v>#DIV/0!</v>
      </c>
      <c r="N218" s="124" t="s">
        <v>686</v>
      </c>
      <c r="O218" s="105">
        <v>0.5</v>
      </c>
      <c r="P218" s="104">
        <v>5.4542309213127672E-2</v>
      </c>
    </row>
    <row r="219" spans="1:16">
      <c r="A219" s="292"/>
      <c r="B219" s="8">
        <v>0.75694444444444398</v>
      </c>
      <c r="C219" s="17">
        <f>'Trading Report'!C220</f>
        <v>0</v>
      </c>
      <c r="D219" s="17">
        <f>'Trading Report'!D220</f>
        <v>0</v>
      </c>
      <c r="E219" s="17">
        <f>MQ!AD220</f>
        <v>0</v>
      </c>
      <c r="F219" s="63">
        <f t="shared" si="15"/>
        <v>0</v>
      </c>
      <c r="G219" s="63">
        <f t="shared" si="12"/>
        <v>0</v>
      </c>
      <c r="H219" s="63">
        <f t="shared" si="13"/>
        <v>0</v>
      </c>
      <c r="I219" s="14" t="e">
        <f t="shared" si="14"/>
        <v>#DIV/0!</v>
      </c>
      <c r="N219" s="124" t="s">
        <v>687</v>
      </c>
      <c r="O219" s="105">
        <v>0.48611111111111099</v>
      </c>
      <c r="P219" s="104">
        <v>5.4616449189402907E-2</v>
      </c>
    </row>
    <row r="220" spans="1:16">
      <c r="A220" s="292"/>
      <c r="B220" s="8">
        <v>0.76041666666666596</v>
      </c>
      <c r="C220" s="17">
        <f>'Trading Report'!C221</f>
        <v>0</v>
      </c>
      <c r="D220" s="17">
        <f>'Trading Report'!D221</f>
        <v>0</v>
      </c>
      <c r="E220" s="17">
        <f>MQ!AD221</f>
        <v>0</v>
      </c>
      <c r="F220" s="63">
        <f t="shared" si="15"/>
        <v>0</v>
      </c>
      <c r="G220" s="63">
        <f t="shared" si="12"/>
        <v>0</v>
      </c>
      <c r="H220" s="63">
        <f t="shared" si="13"/>
        <v>0</v>
      </c>
      <c r="I220" s="14" t="e">
        <f t="shared" si="14"/>
        <v>#DIV/0!</v>
      </c>
      <c r="N220" s="124" t="s">
        <v>688</v>
      </c>
      <c r="O220" s="105">
        <v>0.61805555555555503</v>
      </c>
      <c r="P220" s="104">
        <v>5.5481415579280331E-2</v>
      </c>
    </row>
    <row r="221" spans="1:16">
      <c r="A221" s="292"/>
      <c r="B221" s="8">
        <v>0.76388888888888895</v>
      </c>
      <c r="C221" s="17">
        <f>'Trading Report'!C222</f>
        <v>0</v>
      </c>
      <c r="D221" s="17">
        <f>'Trading Report'!D222</f>
        <v>0</v>
      </c>
      <c r="E221" s="17">
        <f>MQ!AD222</f>
        <v>0</v>
      </c>
      <c r="F221" s="63">
        <f t="shared" si="15"/>
        <v>0</v>
      </c>
      <c r="G221" s="63">
        <f t="shared" si="12"/>
        <v>0</v>
      </c>
      <c r="H221" s="63">
        <f t="shared" si="13"/>
        <v>0</v>
      </c>
      <c r="I221" s="14" t="e">
        <f t="shared" si="14"/>
        <v>#DIV/0!</v>
      </c>
      <c r="N221" s="124" t="s">
        <v>689</v>
      </c>
      <c r="O221" s="105">
        <v>0.47916666666666602</v>
      </c>
      <c r="P221" s="104">
        <v>5.550612890470543E-2</v>
      </c>
    </row>
    <row r="222" spans="1:16">
      <c r="A222" s="292"/>
      <c r="B222" s="8">
        <v>0.76736111111111105</v>
      </c>
      <c r="C222" s="17">
        <f>'Trading Report'!C223</f>
        <v>0</v>
      </c>
      <c r="D222" s="17">
        <f>'Trading Report'!D223</f>
        <v>0</v>
      </c>
      <c r="E222" s="17">
        <f>MQ!AD223</f>
        <v>0</v>
      </c>
      <c r="F222" s="63">
        <f t="shared" si="15"/>
        <v>0</v>
      </c>
      <c r="G222" s="63">
        <f t="shared" si="12"/>
        <v>0</v>
      </c>
      <c r="H222" s="63">
        <f t="shared" si="13"/>
        <v>0</v>
      </c>
      <c r="I222" s="14" t="e">
        <f t="shared" si="14"/>
        <v>#DIV/0!</v>
      </c>
      <c r="N222" s="124" t="s">
        <v>690</v>
      </c>
      <c r="O222" s="105">
        <v>0.69444444444444398</v>
      </c>
      <c r="P222" s="104">
        <v>5.7384341637010616E-2</v>
      </c>
    </row>
    <row r="223" spans="1:16">
      <c r="A223" s="292"/>
      <c r="B223" s="8">
        <v>0.77083333333333304</v>
      </c>
      <c r="C223" s="17">
        <f>'Trading Report'!C224</f>
        <v>0</v>
      </c>
      <c r="D223" s="17">
        <f>'Trading Report'!D224</f>
        <v>0</v>
      </c>
      <c r="E223" s="17">
        <f>MQ!AD224</f>
        <v>0</v>
      </c>
      <c r="F223" s="63">
        <f t="shared" si="15"/>
        <v>0</v>
      </c>
      <c r="G223" s="63">
        <f t="shared" si="12"/>
        <v>0</v>
      </c>
      <c r="H223" s="63">
        <f t="shared" si="13"/>
        <v>0</v>
      </c>
      <c r="I223" s="14" t="e">
        <f t="shared" si="14"/>
        <v>#DIV/0!</v>
      </c>
      <c r="N223" s="124" t="s">
        <v>691</v>
      </c>
      <c r="O223" s="105">
        <v>0.51736111111111105</v>
      </c>
      <c r="P223" s="104">
        <v>5.7483194938710978E-2</v>
      </c>
    </row>
    <row r="224" spans="1:16">
      <c r="A224" s="292"/>
      <c r="B224" s="8">
        <v>0.77430555555555503</v>
      </c>
      <c r="C224" s="17">
        <f>'Trading Report'!C225</f>
        <v>0</v>
      </c>
      <c r="D224" s="17">
        <f>'Trading Report'!D225</f>
        <v>0</v>
      </c>
      <c r="E224" s="17">
        <f>MQ!AD225</f>
        <v>0</v>
      </c>
      <c r="F224" s="63">
        <f t="shared" si="15"/>
        <v>0</v>
      </c>
      <c r="G224" s="63">
        <f t="shared" si="12"/>
        <v>0</v>
      </c>
      <c r="H224" s="63">
        <f t="shared" si="13"/>
        <v>0</v>
      </c>
      <c r="I224" s="14" t="e">
        <f t="shared" si="14"/>
        <v>#DIV/0!</v>
      </c>
      <c r="N224" s="124" t="s">
        <v>692</v>
      </c>
      <c r="O224" s="105">
        <v>0.29166666666666602</v>
      </c>
      <c r="P224" s="104">
        <v>5.7977461447212213E-2</v>
      </c>
    </row>
    <row r="225" spans="1:16">
      <c r="A225" s="292"/>
      <c r="B225" s="8">
        <v>0.77777777777777701</v>
      </c>
      <c r="C225" s="17">
        <f>'Trading Report'!C226</f>
        <v>0</v>
      </c>
      <c r="D225" s="17">
        <f>'Trading Report'!D226</f>
        <v>0</v>
      </c>
      <c r="E225" s="17">
        <f>MQ!AD226</f>
        <v>0</v>
      </c>
      <c r="F225" s="63">
        <f t="shared" si="15"/>
        <v>0</v>
      </c>
      <c r="G225" s="63">
        <f t="shared" si="12"/>
        <v>0</v>
      </c>
      <c r="H225" s="63">
        <f t="shared" si="13"/>
        <v>0</v>
      </c>
      <c r="I225" s="14" t="e">
        <f t="shared" si="14"/>
        <v>#DIV/0!</v>
      </c>
      <c r="N225" s="124" t="s">
        <v>693</v>
      </c>
      <c r="O225" s="105">
        <v>0.62152777777777701</v>
      </c>
      <c r="P225" s="104">
        <v>6.2747133254250728E-2</v>
      </c>
    </row>
    <row r="226" spans="1:16">
      <c r="A226" s="292"/>
      <c r="B226" s="8">
        <v>0.78125</v>
      </c>
      <c r="C226" s="17">
        <f>'Trading Report'!C227</f>
        <v>0</v>
      </c>
      <c r="D226" s="17">
        <f>'Trading Report'!D227</f>
        <v>0</v>
      </c>
      <c r="E226" s="17">
        <f>MQ!AD227</f>
        <v>0</v>
      </c>
      <c r="F226" s="63">
        <f t="shared" si="15"/>
        <v>0</v>
      </c>
      <c r="G226" s="63">
        <f t="shared" si="12"/>
        <v>0</v>
      </c>
      <c r="H226" s="63">
        <f t="shared" si="13"/>
        <v>0</v>
      </c>
      <c r="I226" s="14" t="e">
        <f t="shared" si="14"/>
        <v>#DIV/0!</v>
      </c>
      <c r="N226" s="124" t="s">
        <v>694</v>
      </c>
      <c r="O226" s="105">
        <v>0.96875</v>
      </c>
      <c r="P226" s="104">
        <v>6.2920126532226298E-2</v>
      </c>
    </row>
    <row r="227" spans="1:16">
      <c r="A227" s="292"/>
      <c r="B227" s="8">
        <v>0.78472222222222199</v>
      </c>
      <c r="C227" s="17">
        <f>'Trading Report'!C228</f>
        <v>0</v>
      </c>
      <c r="D227" s="17">
        <f>'Trading Report'!D228</f>
        <v>0</v>
      </c>
      <c r="E227" s="17">
        <f>MQ!AD228</f>
        <v>0</v>
      </c>
      <c r="F227" s="63">
        <f t="shared" si="15"/>
        <v>0</v>
      </c>
      <c r="G227" s="63">
        <f t="shared" si="12"/>
        <v>0</v>
      </c>
      <c r="H227" s="63">
        <f t="shared" si="13"/>
        <v>0</v>
      </c>
      <c r="I227" s="14" t="e">
        <f t="shared" si="14"/>
        <v>#DIV/0!</v>
      </c>
      <c r="N227" s="124" t="s">
        <v>695</v>
      </c>
      <c r="O227" s="105">
        <v>0.69791666666666596</v>
      </c>
      <c r="P227" s="104">
        <v>6.6676551996836697E-2</v>
      </c>
    </row>
    <row r="228" spans="1:16">
      <c r="A228" s="292"/>
      <c r="B228" s="8">
        <v>0.78819444444444398</v>
      </c>
      <c r="C228" s="17">
        <f>'Trading Report'!C229</f>
        <v>0</v>
      </c>
      <c r="D228" s="17">
        <f>'Trading Report'!D229</f>
        <v>0</v>
      </c>
      <c r="E228" s="17">
        <f>MQ!AD229</f>
        <v>0</v>
      </c>
      <c r="F228" s="63">
        <f t="shared" si="15"/>
        <v>0</v>
      </c>
      <c r="G228" s="63">
        <f t="shared" si="12"/>
        <v>0</v>
      </c>
      <c r="H228" s="63">
        <f t="shared" si="13"/>
        <v>0</v>
      </c>
      <c r="I228" s="14" t="e">
        <f t="shared" si="14"/>
        <v>#DIV/0!</v>
      </c>
      <c r="N228" s="124" t="s">
        <v>696</v>
      </c>
      <c r="O228" s="105">
        <v>0.72222222222222199</v>
      </c>
      <c r="P228" s="104">
        <v>6.7319098457888527E-2</v>
      </c>
    </row>
    <row r="229" spans="1:16">
      <c r="A229" s="292"/>
      <c r="B229" s="8">
        <v>0.79166666666666596</v>
      </c>
      <c r="C229" s="17">
        <f>'Trading Report'!C230</f>
        <v>0</v>
      </c>
      <c r="D229" s="17">
        <f>'Trading Report'!D230</f>
        <v>0</v>
      </c>
      <c r="E229" s="17">
        <f>MQ!AD230</f>
        <v>0</v>
      </c>
      <c r="F229" s="63">
        <f t="shared" si="15"/>
        <v>0</v>
      </c>
      <c r="G229" s="63">
        <f t="shared" si="12"/>
        <v>0</v>
      </c>
      <c r="H229" s="63">
        <f t="shared" si="13"/>
        <v>0</v>
      </c>
      <c r="I229" s="14" t="e">
        <f t="shared" si="14"/>
        <v>#DIV/0!</v>
      </c>
      <c r="N229" s="124" t="s">
        <v>697</v>
      </c>
      <c r="O229" s="105">
        <v>0.99652777777777701</v>
      </c>
      <c r="P229" s="104">
        <v>7.0432977461447166E-2</v>
      </c>
    </row>
    <row r="230" spans="1:16">
      <c r="A230" s="292" t="s">
        <v>21</v>
      </c>
      <c r="B230" s="8">
        <v>0.79513888888888895</v>
      </c>
      <c r="C230" s="17">
        <f>'Trading Report'!C231</f>
        <v>0</v>
      </c>
      <c r="D230" s="17">
        <f>'Trading Report'!D231</f>
        <v>0</v>
      </c>
      <c r="E230" s="17">
        <f>MQ!AD231</f>
        <v>0</v>
      </c>
      <c r="F230" s="63">
        <f t="shared" si="15"/>
        <v>0</v>
      </c>
      <c r="G230" s="63">
        <f t="shared" si="12"/>
        <v>0</v>
      </c>
      <c r="H230" s="63">
        <f t="shared" si="13"/>
        <v>0</v>
      </c>
      <c r="I230" s="14" t="e">
        <f t="shared" si="14"/>
        <v>#DIV/0!</v>
      </c>
      <c r="N230" s="124" t="s">
        <v>698</v>
      </c>
      <c r="O230" s="105">
        <v>0.52430555555555503</v>
      </c>
      <c r="P230" s="104">
        <v>7.1446223803875081E-2</v>
      </c>
    </row>
    <row r="231" spans="1:16">
      <c r="A231" s="292"/>
      <c r="B231" s="8">
        <v>0.79861111111111105</v>
      </c>
      <c r="C231" s="17">
        <f>'Trading Report'!C232</f>
        <v>0</v>
      </c>
      <c r="D231" s="17">
        <f>'Trading Report'!D232</f>
        <v>0</v>
      </c>
      <c r="E231" s="17">
        <f>MQ!AD232</f>
        <v>0</v>
      </c>
      <c r="F231" s="63">
        <f t="shared" si="15"/>
        <v>0</v>
      </c>
      <c r="G231" s="63">
        <f t="shared" si="12"/>
        <v>0</v>
      </c>
      <c r="H231" s="63">
        <f t="shared" si="13"/>
        <v>0</v>
      </c>
      <c r="I231" s="14" t="e">
        <f t="shared" si="14"/>
        <v>#DIV/0!</v>
      </c>
      <c r="N231" s="124" t="s">
        <v>699</v>
      </c>
      <c r="O231" s="105">
        <v>0.51041666666666596</v>
      </c>
      <c r="P231" s="104">
        <v>7.1816923685251111E-2</v>
      </c>
    </row>
    <row r="232" spans="1:16">
      <c r="A232" s="292"/>
      <c r="B232" s="8">
        <v>0.80208333333333304</v>
      </c>
      <c r="C232" s="17">
        <f>'Trading Report'!C233</f>
        <v>0</v>
      </c>
      <c r="D232" s="17">
        <f>'Trading Report'!D233</f>
        <v>0</v>
      </c>
      <c r="E232" s="17">
        <f>MQ!AD233</f>
        <v>0</v>
      </c>
      <c r="F232" s="63">
        <f t="shared" si="15"/>
        <v>0</v>
      </c>
      <c r="G232" s="63">
        <f t="shared" si="12"/>
        <v>0</v>
      </c>
      <c r="H232" s="63">
        <f t="shared" si="13"/>
        <v>0</v>
      </c>
      <c r="I232" s="14" t="e">
        <f t="shared" si="14"/>
        <v>#DIV/0!</v>
      </c>
      <c r="N232" s="124" t="s">
        <v>700</v>
      </c>
      <c r="O232" s="105">
        <v>0.26041666666666602</v>
      </c>
      <c r="P232" s="104">
        <v>7.3695136417556331E-2</v>
      </c>
    </row>
    <row r="233" spans="1:16">
      <c r="A233" s="292"/>
      <c r="B233" s="8">
        <v>0.80555555555555503</v>
      </c>
      <c r="C233" s="17">
        <f>'Trading Report'!C234</f>
        <v>0</v>
      </c>
      <c r="D233" s="17">
        <f>'Trading Report'!D234</f>
        <v>0</v>
      </c>
      <c r="E233" s="17">
        <f>MQ!AD234</f>
        <v>0</v>
      </c>
      <c r="F233" s="63">
        <f t="shared" si="15"/>
        <v>0</v>
      </c>
      <c r="G233" s="63">
        <f t="shared" si="12"/>
        <v>0</v>
      </c>
      <c r="H233" s="63">
        <f t="shared" si="13"/>
        <v>0</v>
      </c>
      <c r="I233" s="14" t="e">
        <f t="shared" si="14"/>
        <v>#DIV/0!</v>
      </c>
      <c r="N233" s="124" t="s">
        <v>701</v>
      </c>
      <c r="O233" s="105">
        <v>0.49305555555555503</v>
      </c>
      <c r="P233" s="104">
        <v>7.6660735468564709E-2</v>
      </c>
    </row>
    <row r="234" spans="1:16">
      <c r="A234" s="292"/>
      <c r="B234" s="8">
        <v>0.80902777777777701</v>
      </c>
      <c r="C234" s="17">
        <f>'Trading Report'!C235</f>
        <v>0</v>
      </c>
      <c r="D234" s="17">
        <f>'Trading Report'!D235</f>
        <v>0</v>
      </c>
      <c r="E234" s="17">
        <f>MQ!AD235</f>
        <v>0</v>
      </c>
      <c r="F234" s="63">
        <f t="shared" si="15"/>
        <v>0</v>
      </c>
      <c r="G234" s="63">
        <f t="shared" si="12"/>
        <v>0</v>
      </c>
      <c r="H234" s="63">
        <f t="shared" si="13"/>
        <v>0</v>
      </c>
      <c r="I234" s="14" t="e">
        <f t="shared" si="14"/>
        <v>#DIV/0!</v>
      </c>
      <c r="N234" s="124" t="s">
        <v>702</v>
      </c>
      <c r="O234" s="105">
        <v>0.96527777777777701</v>
      </c>
      <c r="P234" s="104">
        <v>7.8934361407670947E-2</v>
      </c>
    </row>
    <row r="235" spans="1:16">
      <c r="A235" s="292"/>
      <c r="B235" s="8">
        <v>0.8125</v>
      </c>
      <c r="C235" s="17">
        <f>'Trading Report'!C236</f>
        <v>0</v>
      </c>
      <c r="D235" s="17">
        <f>'Trading Report'!D236</f>
        <v>0</v>
      </c>
      <c r="E235" s="17">
        <f>MQ!AD236</f>
        <v>0</v>
      </c>
      <c r="F235" s="63">
        <f t="shared" si="15"/>
        <v>0</v>
      </c>
      <c r="G235" s="63">
        <f t="shared" si="12"/>
        <v>0</v>
      </c>
      <c r="H235" s="63">
        <f t="shared" si="13"/>
        <v>0</v>
      </c>
      <c r="I235" s="14" t="e">
        <f t="shared" si="14"/>
        <v>#DIV/0!</v>
      </c>
      <c r="N235" s="124" t="s">
        <v>703</v>
      </c>
      <c r="O235" s="105">
        <v>0.49652777777777801</v>
      </c>
      <c r="P235" s="104">
        <v>7.9181494661921689E-2</v>
      </c>
    </row>
    <row r="236" spans="1:16">
      <c r="A236" s="292"/>
      <c r="B236" s="8">
        <v>0.81597222222222199</v>
      </c>
      <c r="C236" s="17">
        <f>'Trading Report'!C237</f>
        <v>0</v>
      </c>
      <c r="D236" s="17">
        <f>'Trading Report'!D237</f>
        <v>0</v>
      </c>
      <c r="E236" s="17">
        <f>MQ!AD237</f>
        <v>0</v>
      </c>
      <c r="F236" s="63">
        <f t="shared" si="15"/>
        <v>0</v>
      </c>
      <c r="G236" s="63">
        <f t="shared" si="12"/>
        <v>0</v>
      </c>
      <c r="H236" s="63">
        <f t="shared" si="13"/>
        <v>0</v>
      </c>
      <c r="I236" s="14" t="e">
        <f t="shared" si="14"/>
        <v>#DIV/0!</v>
      </c>
      <c r="N236" s="124" t="s">
        <v>704</v>
      </c>
      <c r="O236" s="105">
        <v>0.72569444444444398</v>
      </c>
      <c r="P236" s="104">
        <v>8.2468366943455954E-2</v>
      </c>
    </row>
    <row r="237" spans="1:16">
      <c r="A237" s="292"/>
      <c r="B237" s="8">
        <v>0.81944444444444398</v>
      </c>
      <c r="C237" s="17">
        <f>'Trading Report'!C238</f>
        <v>0</v>
      </c>
      <c r="D237" s="17">
        <f>'Trading Report'!D238</f>
        <v>0</v>
      </c>
      <c r="E237" s="17">
        <f>MQ!AD238</f>
        <v>0</v>
      </c>
      <c r="F237" s="63">
        <f t="shared" si="15"/>
        <v>0</v>
      </c>
      <c r="G237" s="63">
        <f t="shared" si="12"/>
        <v>0</v>
      </c>
      <c r="H237" s="63">
        <f t="shared" si="13"/>
        <v>0</v>
      </c>
      <c r="I237" s="14" t="e">
        <f t="shared" si="14"/>
        <v>#DIV/0!</v>
      </c>
      <c r="N237" s="124" t="s">
        <v>705</v>
      </c>
      <c r="O237" s="105">
        <v>0.89236111111111105</v>
      </c>
      <c r="P237" s="104">
        <v>8.3036773428232444E-2</v>
      </c>
    </row>
    <row r="238" spans="1:16">
      <c r="A238" s="292"/>
      <c r="B238" s="8">
        <v>0.82291666666666596</v>
      </c>
      <c r="C238" s="17">
        <f>'Trading Report'!C239</f>
        <v>0</v>
      </c>
      <c r="D238" s="17">
        <f>'Trading Report'!D239</f>
        <v>0</v>
      </c>
      <c r="E238" s="17">
        <f>MQ!AD239</f>
        <v>0</v>
      </c>
      <c r="F238" s="63">
        <f t="shared" si="15"/>
        <v>0</v>
      </c>
      <c r="G238" s="63">
        <f t="shared" si="12"/>
        <v>0</v>
      </c>
      <c r="H238" s="63">
        <f t="shared" si="13"/>
        <v>0</v>
      </c>
      <c r="I238" s="14" t="e">
        <f t="shared" si="14"/>
        <v>#DIV/0!</v>
      </c>
      <c r="N238" s="124" t="s">
        <v>706</v>
      </c>
      <c r="O238" s="105">
        <v>0.69097222222222199</v>
      </c>
      <c r="P238" s="104">
        <v>8.4321866350336172E-2</v>
      </c>
    </row>
    <row r="239" spans="1:16">
      <c r="A239" s="292"/>
      <c r="B239" s="8">
        <v>0.82638888888888895</v>
      </c>
      <c r="C239" s="17">
        <f>'Trading Report'!C240</f>
        <v>0</v>
      </c>
      <c r="D239" s="17">
        <f>'Trading Report'!D240</f>
        <v>0</v>
      </c>
      <c r="E239" s="17">
        <f>MQ!AD240</f>
        <v>0</v>
      </c>
      <c r="F239" s="63">
        <f t="shared" si="15"/>
        <v>0</v>
      </c>
      <c r="G239" s="63">
        <f t="shared" si="12"/>
        <v>0</v>
      </c>
      <c r="H239" s="63">
        <f t="shared" si="13"/>
        <v>0</v>
      </c>
      <c r="I239" s="14" t="e">
        <f t="shared" si="14"/>
        <v>#DIV/0!</v>
      </c>
      <c r="N239" s="124" t="s">
        <v>707</v>
      </c>
      <c r="O239" s="105">
        <v>0.48263888888888901</v>
      </c>
      <c r="P239" s="104">
        <v>9.3712930011862483E-2</v>
      </c>
    </row>
    <row r="240" spans="1:16">
      <c r="A240" s="292"/>
      <c r="B240" s="8">
        <v>0.82986111111111105</v>
      </c>
      <c r="C240" s="17">
        <f>'Trading Report'!C241</f>
        <v>0</v>
      </c>
      <c r="D240" s="17">
        <f>'Trading Report'!D241</f>
        <v>0</v>
      </c>
      <c r="E240" s="17">
        <f>MQ!AD241</f>
        <v>0</v>
      </c>
      <c r="F240" s="63">
        <f t="shared" si="15"/>
        <v>0</v>
      </c>
      <c r="G240" s="63">
        <f t="shared" si="12"/>
        <v>0</v>
      </c>
      <c r="H240" s="63">
        <f t="shared" si="13"/>
        <v>0</v>
      </c>
      <c r="I240" s="14" t="e">
        <f t="shared" si="14"/>
        <v>#DIV/0!</v>
      </c>
      <c r="N240" s="124" t="s">
        <v>708</v>
      </c>
      <c r="O240" s="105">
        <v>0.99305555555555503</v>
      </c>
      <c r="P240" s="104">
        <v>9.6530249110320265E-2</v>
      </c>
    </row>
    <row r="241" spans="1:16">
      <c r="A241" s="292"/>
      <c r="B241" s="8">
        <v>0.83333333333333304</v>
      </c>
      <c r="C241" s="17">
        <f>'Trading Report'!C242</f>
        <v>0</v>
      </c>
      <c r="D241" s="17">
        <f>'Trading Report'!D242</f>
        <v>0</v>
      </c>
      <c r="E241" s="17">
        <f>MQ!AD242</f>
        <v>0</v>
      </c>
      <c r="F241" s="63">
        <f t="shared" si="15"/>
        <v>0</v>
      </c>
      <c r="G241" s="63">
        <f t="shared" si="12"/>
        <v>0</v>
      </c>
      <c r="H241" s="63">
        <f t="shared" si="13"/>
        <v>0</v>
      </c>
      <c r="I241" s="14" t="e">
        <f t="shared" si="14"/>
        <v>#DIV/0!</v>
      </c>
      <c r="N241" s="124" t="s">
        <v>709</v>
      </c>
      <c r="O241" s="105">
        <v>0.25694444444444398</v>
      </c>
      <c r="P241" s="104">
        <v>9.7444642151047756E-2</v>
      </c>
    </row>
    <row r="242" spans="1:16">
      <c r="A242" s="292" t="s">
        <v>22</v>
      </c>
      <c r="B242" s="8">
        <v>0.83680555555555503</v>
      </c>
      <c r="C242" s="17">
        <f>'Trading Report'!C243</f>
        <v>0</v>
      </c>
      <c r="D242" s="17">
        <f>'Trading Report'!D243</f>
        <v>0</v>
      </c>
      <c r="E242" s="17">
        <f>MQ!AD243</f>
        <v>0</v>
      </c>
      <c r="F242" s="63">
        <f t="shared" si="15"/>
        <v>0</v>
      </c>
      <c r="G242" s="63">
        <f t="shared" si="12"/>
        <v>0</v>
      </c>
      <c r="H242" s="63">
        <f t="shared" si="13"/>
        <v>0</v>
      </c>
      <c r="I242" s="14" t="e">
        <f t="shared" si="14"/>
        <v>#DIV/0!</v>
      </c>
      <c r="N242" s="124" t="s">
        <v>710</v>
      </c>
      <c r="O242" s="105">
        <v>0.53819444444444398</v>
      </c>
      <c r="P242" s="104">
        <v>9.835903519177551E-2</v>
      </c>
    </row>
    <row r="243" spans="1:16">
      <c r="A243" s="292"/>
      <c r="B243" s="8">
        <v>0.84027777777777701</v>
      </c>
      <c r="C243" s="17">
        <f>'Trading Report'!C244</f>
        <v>0</v>
      </c>
      <c r="D243" s="17">
        <f>'Trading Report'!D244</f>
        <v>0</v>
      </c>
      <c r="E243" s="17">
        <f>MQ!AD244</f>
        <v>0</v>
      </c>
      <c r="F243" s="63">
        <f t="shared" si="15"/>
        <v>0</v>
      </c>
      <c r="G243" s="63">
        <f t="shared" si="12"/>
        <v>0</v>
      </c>
      <c r="H243" s="63">
        <f t="shared" si="13"/>
        <v>0</v>
      </c>
      <c r="I243" s="14" t="e">
        <f t="shared" si="14"/>
        <v>#DIV/0!</v>
      </c>
      <c r="N243" s="124" t="s">
        <v>711</v>
      </c>
      <c r="O243" s="105">
        <v>0.50694444444444398</v>
      </c>
      <c r="P243" s="104">
        <v>0.10085508105970742</v>
      </c>
    </row>
    <row r="244" spans="1:16">
      <c r="A244" s="292"/>
      <c r="B244" s="8">
        <v>0.84375</v>
      </c>
      <c r="C244" s="17">
        <f>'Trading Report'!C245</f>
        <v>0</v>
      </c>
      <c r="D244" s="17">
        <f>'Trading Report'!D245</f>
        <v>0</v>
      </c>
      <c r="E244" s="17">
        <f>MQ!AD245</f>
        <v>0</v>
      </c>
      <c r="F244" s="63">
        <f t="shared" si="15"/>
        <v>0</v>
      </c>
      <c r="G244" s="63">
        <f t="shared" si="12"/>
        <v>0</v>
      </c>
      <c r="H244" s="63">
        <f t="shared" si="13"/>
        <v>0</v>
      </c>
      <c r="I244" s="14" t="e">
        <f t="shared" si="14"/>
        <v>#DIV/0!</v>
      </c>
      <c r="N244" s="124" t="s">
        <v>712</v>
      </c>
      <c r="O244" s="105">
        <v>0.73263888888888895</v>
      </c>
      <c r="P244" s="104">
        <v>0.10246144721233674</v>
      </c>
    </row>
    <row r="245" spans="1:16">
      <c r="A245" s="292"/>
      <c r="B245" s="8">
        <v>0.84722222222222199</v>
      </c>
      <c r="C245" s="17">
        <f>'Trading Report'!C246</f>
        <v>0</v>
      </c>
      <c r="D245" s="17">
        <f>'Trading Report'!D246</f>
        <v>0</v>
      </c>
      <c r="E245" s="17">
        <f>MQ!AD246</f>
        <v>0</v>
      </c>
      <c r="F245" s="63">
        <f t="shared" si="15"/>
        <v>0</v>
      </c>
      <c r="G245" s="63">
        <f t="shared" si="12"/>
        <v>0</v>
      </c>
      <c r="H245" s="63">
        <f t="shared" si="13"/>
        <v>0</v>
      </c>
      <c r="I245" s="14" t="e">
        <f t="shared" si="14"/>
        <v>#DIV/0!</v>
      </c>
      <c r="N245" s="124" t="s">
        <v>713</v>
      </c>
      <c r="O245" s="105">
        <v>0.64930555555555503</v>
      </c>
      <c r="P245" s="104">
        <v>0.10446322657176749</v>
      </c>
    </row>
    <row r="246" spans="1:16">
      <c r="A246" s="292"/>
      <c r="B246" s="8">
        <v>0.85069444444444398</v>
      </c>
      <c r="C246" s="17">
        <f>'Trading Report'!C247</f>
        <v>0</v>
      </c>
      <c r="D246" s="17">
        <f>'Trading Report'!D247</f>
        <v>0</v>
      </c>
      <c r="E246" s="17">
        <f>MQ!AD247</f>
        <v>0</v>
      </c>
      <c r="F246" s="63">
        <f t="shared" si="15"/>
        <v>0</v>
      </c>
      <c r="G246" s="63">
        <f t="shared" si="12"/>
        <v>0</v>
      </c>
      <c r="H246" s="63">
        <f t="shared" si="13"/>
        <v>0</v>
      </c>
      <c r="I246" s="14" t="e">
        <f t="shared" si="14"/>
        <v>#DIV/0!</v>
      </c>
      <c r="N246" s="124" t="s">
        <v>714</v>
      </c>
      <c r="O246" s="105">
        <v>0.98958333333333304</v>
      </c>
      <c r="P246" s="104">
        <v>0.10710755239225003</v>
      </c>
    </row>
    <row r="247" spans="1:16">
      <c r="A247" s="292"/>
      <c r="B247" s="8">
        <v>0.85416666666666596</v>
      </c>
      <c r="C247" s="17">
        <f>'Trading Report'!C248</f>
        <v>0</v>
      </c>
      <c r="D247" s="17">
        <f>'Trading Report'!D248</f>
        <v>0</v>
      </c>
      <c r="E247" s="17">
        <f>MQ!AD248</f>
        <v>0</v>
      </c>
      <c r="F247" s="63">
        <f t="shared" si="15"/>
        <v>0</v>
      </c>
      <c r="G247" s="63">
        <f t="shared" si="12"/>
        <v>0</v>
      </c>
      <c r="H247" s="63">
        <f t="shared" si="13"/>
        <v>0</v>
      </c>
      <c r="I247" s="14" t="e">
        <f t="shared" si="14"/>
        <v>#DIV/0!</v>
      </c>
      <c r="N247" s="124" t="s">
        <v>715</v>
      </c>
      <c r="O247" s="105">
        <v>0.98611111111111105</v>
      </c>
      <c r="P247" s="104">
        <v>0.11768485567417954</v>
      </c>
    </row>
    <row r="248" spans="1:16">
      <c r="A248" s="292"/>
      <c r="B248" s="8">
        <v>0.85763888888888895</v>
      </c>
      <c r="C248" s="17">
        <f>'Trading Report'!C249</f>
        <v>0</v>
      </c>
      <c r="D248" s="17">
        <f>'Trading Report'!D249</f>
        <v>0</v>
      </c>
      <c r="E248" s="17">
        <f>MQ!AD249</f>
        <v>0</v>
      </c>
      <c r="F248" s="63">
        <f t="shared" si="15"/>
        <v>0</v>
      </c>
      <c r="G248" s="63">
        <f t="shared" si="12"/>
        <v>0</v>
      </c>
      <c r="H248" s="63">
        <f t="shared" si="13"/>
        <v>0</v>
      </c>
      <c r="I248" s="14" t="e">
        <f t="shared" si="14"/>
        <v>#DIV/0!</v>
      </c>
      <c r="N248" s="124" t="s">
        <v>716</v>
      </c>
      <c r="O248" s="105">
        <v>0.61458333333333304</v>
      </c>
      <c r="P248" s="104">
        <v>0.12196026097271633</v>
      </c>
    </row>
    <row r="249" spans="1:16">
      <c r="A249" s="292"/>
      <c r="B249" s="8">
        <v>0.86111111111111105</v>
      </c>
      <c r="C249" s="17">
        <f>'Trading Report'!C250</f>
        <v>0</v>
      </c>
      <c r="D249" s="17">
        <f>'Trading Report'!D250</f>
        <v>0</v>
      </c>
      <c r="E249" s="17">
        <f>MQ!AD250</f>
        <v>0</v>
      </c>
      <c r="F249" s="63">
        <f t="shared" si="15"/>
        <v>0</v>
      </c>
      <c r="G249" s="63">
        <f t="shared" si="12"/>
        <v>0</v>
      </c>
      <c r="H249" s="63">
        <f t="shared" si="13"/>
        <v>0</v>
      </c>
      <c r="I249" s="14" t="e">
        <f t="shared" si="14"/>
        <v>#DIV/0!</v>
      </c>
      <c r="N249" s="124" t="s">
        <v>717</v>
      </c>
      <c r="O249" s="105">
        <v>0.43055555555555503</v>
      </c>
      <c r="P249" s="104">
        <v>0.12480229339659947</v>
      </c>
    </row>
    <row r="250" spans="1:16">
      <c r="A250" s="292"/>
      <c r="B250" s="8">
        <v>0.86458333333333304</v>
      </c>
      <c r="C250" s="17">
        <f>'Trading Report'!C251</f>
        <v>0</v>
      </c>
      <c r="D250" s="17">
        <f>'Trading Report'!D251</f>
        <v>0</v>
      </c>
      <c r="E250" s="17">
        <f>MQ!AD251</f>
        <v>0</v>
      </c>
      <c r="F250" s="63">
        <f t="shared" si="15"/>
        <v>0</v>
      </c>
      <c r="G250" s="63">
        <f t="shared" si="12"/>
        <v>0</v>
      </c>
      <c r="H250" s="63">
        <f t="shared" si="13"/>
        <v>0</v>
      </c>
      <c r="I250" s="14" t="e">
        <f t="shared" si="14"/>
        <v>#DIV/0!</v>
      </c>
      <c r="N250" s="124" t="s">
        <v>718</v>
      </c>
      <c r="O250" s="105">
        <v>0.94444444444444398</v>
      </c>
      <c r="P250" s="104">
        <v>0.12559311981020166</v>
      </c>
    </row>
    <row r="251" spans="1:16">
      <c r="A251" s="292"/>
      <c r="B251" s="8">
        <v>0.86805555555555503</v>
      </c>
      <c r="C251" s="17">
        <f>'Trading Report'!C252</f>
        <v>0</v>
      </c>
      <c r="D251" s="17">
        <f>'Trading Report'!D252</f>
        <v>0</v>
      </c>
      <c r="E251" s="17">
        <f>MQ!AD252</f>
        <v>0</v>
      </c>
      <c r="F251" s="63">
        <f t="shared" si="15"/>
        <v>0</v>
      </c>
      <c r="G251" s="63">
        <f t="shared" si="12"/>
        <v>0</v>
      </c>
      <c r="H251" s="63">
        <f t="shared" si="13"/>
        <v>0</v>
      </c>
      <c r="I251" s="14" t="e">
        <f t="shared" si="14"/>
        <v>#DIV/0!</v>
      </c>
      <c r="N251" s="124" t="s">
        <v>719</v>
      </c>
      <c r="O251" s="105">
        <v>0.27430555555555503</v>
      </c>
      <c r="P251" s="104">
        <v>0.12697706603400544</v>
      </c>
    </row>
    <row r="252" spans="1:16">
      <c r="A252" s="292"/>
      <c r="B252" s="8">
        <v>0.87152777777777701</v>
      </c>
      <c r="C252" s="17">
        <f>'Trading Report'!C253</f>
        <v>0</v>
      </c>
      <c r="D252" s="17">
        <f>'Trading Report'!D253</f>
        <v>0</v>
      </c>
      <c r="E252" s="17">
        <f>MQ!AD253</f>
        <v>0</v>
      </c>
      <c r="F252" s="63">
        <f t="shared" si="15"/>
        <v>0</v>
      </c>
      <c r="G252" s="63">
        <f t="shared" si="12"/>
        <v>0</v>
      </c>
      <c r="H252" s="63">
        <f t="shared" si="13"/>
        <v>0</v>
      </c>
      <c r="I252" s="14" t="e">
        <f t="shared" si="14"/>
        <v>#DIV/0!</v>
      </c>
      <c r="N252" s="124" t="s">
        <v>720</v>
      </c>
      <c r="O252" s="105">
        <v>0.53125</v>
      </c>
      <c r="P252" s="104">
        <v>0.12917655199683667</v>
      </c>
    </row>
    <row r="253" spans="1:16">
      <c r="A253" s="292"/>
      <c r="B253" s="8">
        <v>0.875</v>
      </c>
      <c r="C253" s="17">
        <f>'Trading Report'!C254</f>
        <v>0</v>
      </c>
      <c r="D253" s="17">
        <f>'Trading Report'!D254</f>
        <v>0</v>
      </c>
      <c r="E253" s="17">
        <f>MQ!AD254</f>
        <v>0</v>
      </c>
      <c r="F253" s="63">
        <f t="shared" si="15"/>
        <v>0</v>
      </c>
      <c r="G253" s="63">
        <f t="shared" si="12"/>
        <v>0</v>
      </c>
      <c r="H253" s="63">
        <f t="shared" si="13"/>
        <v>0</v>
      </c>
      <c r="I253" s="14" t="e">
        <f t="shared" si="14"/>
        <v>#DIV/0!</v>
      </c>
      <c r="N253" s="124" t="s">
        <v>721</v>
      </c>
      <c r="O253" s="105">
        <v>0.74652777777777701</v>
      </c>
      <c r="P253" s="104">
        <v>0.12925069197311184</v>
      </c>
    </row>
    <row r="254" spans="1:16">
      <c r="A254" s="292" t="s">
        <v>23</v>
      </c>
      <c r="B254" s="8">
        <v>0.87847222222222199</v>
      </c>
      <c r="C254" s="17">
        <f>'Trading Report'!C255</f>
        <v>0</v>
      </c>
      <c r="D254" s="17">
        <f>'Trading Report'!D255</f>
        <v>0</v>
      </c>
      <c r="E254" s="17">
        <f>MQ!AD255</f>
        <v>0</v>
      </c>
      <c r="F254" s="63">
        <f t="shared" si="15"/>
        <v>0</v>
      </c>
      <c r="G254" s="63">
        <f t="shared" si="12"/>
        <v>0</v>
      </c>
      <c r="H254" s="63">
        <f t="shared" si="13"/>
        <v>0</v>
      </c>
      <c r="I254" s="14" t="e">
        <f t="shared" si="14"/>
        <v>#DIV/0!</v>
      </c>
      <c r="N254" s="124" t="s">
        <v>722</v>
      </c>
      <c r="O254" s="105">
        <v>0.65625</v>
      </c>
      <c r="P254" s="104">
        <v>0.13997627520759179</v>
      </c>
    </row>
    <row r="255" spans="1:16">
      <c r="A255" s="292"/>
      <c r="B255" s="8">
        <v>0.88194444444444398</v>
      </c>
      <c r="C255" s="17">
        <f>'Trading Report'!C256</f>
        <v>0</v>
      </c>
      <c r="D255" s="17">
        <f>'Trading Report'!D256</f>
        <v>0</v>
      </c>
      <c r="E255" s="17">
        <f>MQ!AD256</f>
        <v>0</v>
      </c>
      <c r="F255" s="63">
        <f t="shared" si="15"/>
        <v>0</v>
      </c>
      <c r="G255" s="63">
        <f t="shared" si="12"/>
        <v>0</v>
      </c>
      <c r="H255" s="63">
        <f t="shared" si="13"/>
        <v>0</v>
      </c>
      <c r="I255" s="14" t="e">
        <f t="shared" si="14"/>
        <v>#DIV/0!</v>
      </c>
      <c r="N255" s="124" t="s">
        <v>723</v>
      </c>
      <c r="O255" s="105">
        <v>0.58333333333333304</v>
      </c>
      <c r="P255" s="104">
        <v>0.14126136812969553</v>
      </c>
    </row>
    <row r="256" spans="1:16">
      <c r="A256" s="292"/>
      <c r="B256" s="8">
        <v>0.88541666666666596</v>
      </c>
      <c r="C256" s="17">
        <f>'Trading Report'!C257</f>
        <v>0</v>
      </c>
      <c r="D256" s="17">
        <f>'Trading Report'!D257</f>
        <v>0</v>
      </c>
      <c r="E256" s="17">
        <f>MQ!AD257</f>
        <v>0</v>
      </c>
      <c r="F256" s="63">
        <f t="shared" si="15"/>
        <v>0</v>
      </c>
      <c r="G256" s="63">
        <f t="shared" si="12"/>
        <v>0</v>
      </c>
      <c r="H256" s="63">
        <f t="shared" si="13"/>
        <v>0</v>
      </c>
      <c r="I256" s="14" t="e">
        <f t="shared" si="14"/>
        <v>#DIV/0!</v>
      </c>
      <c r="N256" s="124" t="s">
        <v>724</v>
      </c>
      <c r="O256" s="105">
        <v>0.42708333333333298</v>
      </c>
      <c r="P256" s="104">
        <v>0.14375741399762754</v>
      </c>
    </row>
    <row r="257" spans="1:16">
      <c r="A257" s="292"/>
      <c r="B257" s="8">
        <v>0.88888888888888895</v>
      </c>
      <c r="C257" s="17">
        <f>'Trading Report'!C258</f>
        <v>0</v>
      </c>
      <c r="D257" s="17">
        <f>'Trading Report'!D258</f>
        <v>0</v>
      </c>
      <c r="E257" s="17">
        <f>MQ!AD258</f>
        <v>0</v>
      </c>
      <c r="F257" s="63">
        <f t="shared" si="15"/>
        <v>0</v>
      </c>
      <c r="G257" s="63">
        <f t="shared" si="12"/>
        <v>0</v>
      </c>
      <c r="H257" s="63">
        <f t="shared" si="13"/>
        <v>0</v>
      </c>
      <c r="I257" s="14" t="e">
        <f t="shared" si="14"/>
        <v>#DIV/0!</v>
      </c>
      <c r="N257" s="124" t="s">
        <v>725</v>
      </c>
      <c r="O257" s="105">
        <v>0.50347222222222199</v>
      </c>
      <c r="P257" s="104">
        <v>0.14956504547251878</v>
      </c>
    </row>
    <row r="258" spans="1:16">
      <c r="A258" s="292"/>
      <c r="B258" s="8">
        <v>0.89236111111111105</v>
      </c>
      <c r="C258" s="17">
        <f>'Trading Report'!C259</f>
        <v>0</v>
      </c>
      <c r="D258" s="17">
        <f>'Trading Report'!D259</f>
        <v>0</v>
      </c>
      <c r="E258" s="17">
        <f>MQ!AD259</f>
        <v>0</v>
      </c>
      <c r="F258" s="63">
        <f t="shared" si="15"/>
        <v>0</v>
      </c>
      <c r="G258" s="63">
        <f t="shared" si="12"/>
        <v>0</v>
      </c>
      <c r="H258" s="63">
        <f t="shared" si="13"/>
        <v>0</v>
      </c>
      <c r="I258" s="14" t="e">
        <f t="shared" si="14"/>
        <v>#DIV/0!</v>
      </c>
      <c r="N258" s="124" t="s">
        <v>726</v>
      </c>
      <c r="O258" s="105">
        <v>0.9375</v>
      </c>
      <c r="P258" s="104">
        <v>0.15356860419137994</v>
      </c>
    </row>
    <row r="259" spans="1:16">
      <c r="A259" s="292"/>
      <c r="B259" s="8">
        <v>0.89583333333333304</v>
      </c>
      <c r="C259" s="17">
        <f>'Trading Report'!C260</f>
        <v>0</v>
      </c>
      <c r="D259" s="17">
        <f>'Trading Report'!D260</f>
        <v>0</v>
      </c>
      <c r="E259" s="17">
        <f>MQ!AD260</f>
        <v>0</v>
      </c>
      <c r="F259" s="63">
        <f t="shared" si="15"/>
        <v>0</v>
      </c>
      <c r="G259" s="63">
        <f t="shared" ref="G259:G289" si="16">(1/12)*((F259+C259)/2)</f>
        <v>0</v>
      </c>
      <c r="H259" s="63">
        <f t="shared" ref="H259:H289" si="17">MAX($E$2:$E$289)</f>
        <v>0</v>
      </c>
      <c r="I259" s="14" t="e">
        <f t="shared" ref="I259:I289" si="18">ABS((G259-E259)/H259)</f>
        <v>#DIV/0!</v>
      </c>
      <c r="N259" s="124" t="s">
        <v>727</v>
      </c>
      <c r="O259" s="105">
        <v>0.97222222222222199</v>
      </c>
      <c r="P259" s="104">
        <v>0.15851126927639383</v>
      </c>
    </row>
    <row r="260" spans="1:16">
      <c r="A260" s="292"/>
      <c r="B260" s="8">
        <v>0.89930555555555503</v>
      </c>
      <c r="C260" s="17">
        <f>'Trading Report'!C261</f>
        <v>0</v>
      </c>
      <c r="D260" s="17">
        <f>'Trading Report'!D261</f>
        <v>0</v>
      </c>
      <c r="E260" s="17">
        <f>MQ!AD261</f>
        <v>0</v>
      </c>
      <c r="F260" s="63">
        <f t="shared" ref="F260:F289" si="19">C259</f>
        <v>0</v>
      </c>
      <c r="G260" s="63">
        <f t="shared" si="16"/>
        <v>0</v>
      </c>
      <c r="H260" s="63">
        <f t="shared" si="17"/>
        <v>0</v>
      </c>
      <c r="I260" s="14" t="e">
        <f t="shared" si="18"/>
        <v>#DIV/0!</v>
      </c>
      <c r="N260" s="124" t="s">
        <v>728</v>
      </c>
      <c r="O260" s="105">
        <v>0.52777777777777801</v>
      </c>
      <c r="P260" s="104">
        <v>0.16639482008699089</v>
      </c>
    </row>
    <row r="261" spans="1:16">
      <c r="A261" s="292"/>
      <c r="B261" s="8">
        <v>0.90277777777777701</v>
      </c>
      <c r="C261" s="17">
        <f>'Trading Report'!C262</f>
        <v>0</v>
      </c>
      <c r="D261" s="17">
        <f>'Trading Report'!D262</f>
        <v>0</v>
      </c>
      <c r="E261" s="17">
        <f>MQ!AD262</f>
        <v>0</v>
      </c>
      <c r="F261" s="63">
        <f t="shared" si="19"/>
        <v>0</v>
      </c>
      <c r="G261" s="63">
        <f t="shared" si="16"/>
        <v>0</v>
      </c>
      <c r="H261" s="63">
        <f t="shared" si="17"/>
        <v>0</v>
      </c>
      <c r="I261" s="14" t="e">
        <f t="shared" si="18"/>
        <v>#DIV/0!</v>
      </c>
      <c r="N261" s="124" t="s">
        <v>729</v>
      </c>
      <c r="O261" s="105">
        <v>0.94097222222222199</v>
      </c>
      <c r="P261" s="104">
        <v>0.17071965203637798</v>
      </c>
    </row>
    <row r="262" spans="1:16">
      <c r="A262" s="292"/>
      <c r="B262" s="8">
        <v>0.90625</v>
      </c>
      <c r="C262" s="17">
        <f>'Trading Report'!C263</f>
        <v>0</v>
      </c>
      <c r="D262" s="17">
        <f>'Trading Report'!D263</f>
        <v>0</v>
      </c>
      <c r="E262" s="17">
        <f>MQ!AD263</f>
        <v>0</v>
      </c>
      <c r="F262" s="63">
        <f t="shared" si="19"/>
        <v>0</v>
      </c>
      <c r="G262" s="63">
        <f t="shared" si="16"/>
        <v>0</v>
      </c>
      <c r="H262" s="63">
        <f t="shared" si="17"/>
        <v>0</v>
      </c>
      <c r="I262" s="14" t="e">
        <f t="shared" si="18"/>
        <v>#DIV/0!</v>
      </c>
      <c r="N262" s="124" t="s">
        <v>730</v>
      </c>
      <c r="O262" s="105">
        <v>0.40625</v>
      </c>
      <c r="P262" s="104">
        <v>0.18547350731514409</v>
      </c>
    </row>
    <row r="263" spans="1:16">
      <c r="A263" s="292"/>
      <c r="B263" s="8">
        <v>0.90972222222222199</v>
      </c>
      <c r="C263" s="17">
        <f>'Trading Report'!C264</f>
        <v>0</v>
      </c>
      <c r="D263" s="17">
        <f>'Trading Report'!D264</f>
        <v>0</v>
      </c>
      <c r="E263" s="17">
        <f>MQ!AD264</f>
        <v>0</v>
      </c>
      <c r="F263" s="63">
        <f t="shared" si="19"/>
        <v>0</v>
      </c>
      <c r="G263" s="63">
        <f t="shared" si="16"/>
        <v>0</v>
      </c>
      <c r="H263" s="63">
        <f t="shared" si="17"/>
        <v>0</v>
      </c>
      <c r="I263" s="14" t="e">
        <f t="shared" si="18"/>
        <v>#DIV/0!</v>
      </c>
      <c r="N263" s="124" t="s">
        <v>731</v>
      </c>
      <c r="O263" s="105">
        <v>0.95138888888888895</v>
      </c>
      <c r="P263" s="104">
        <v>0.18767299327797543</v>
      </c>
    </row>
    <row r="264" spans="1:16">
      <c r="A264" s="292"/>
      <c r="B264" s="8">
        <v>0.91319444444444398</v>
      </c>
      <c r="C264" s="17">
        <f>'Trading Report'!C265</f>
        <v>0</v>
      </c>
      <c r="D264" s="17">
        <f>'Trading Report'!D265</f>
        <v>0</v>
      </c>
      <c r="E264" s="17">
        <f>MQ!AD265</f>
        <v>0</v>
      </c>
      <c r="F264" s="63">
        <f t="shared" si="19"/>
        <v>0</v>
      </c>
      <c r="G264" s="63">
        <f t="shared" si="16"/>
        <v>0</v>
      </c>
      <c r="H264" s="63">
        <f t="shared" si="17"/>
        <v>0</v>
      </c>
      <c r="I264" s="14" t="e">
        <f t="shared" si="18"/>
        <v>#DIV/0!</v>
      </c>
      <c r="N264" s="124" t="s">
        <v>732</v>
      </c>
      <c r="O264" s="105">
        <v>0.48958333333333298</v>
      </c>
      <c r="P264" s="104">
        <v>0.19429616449189416</v>
      </c>
    </row>
    <row r="265" spans="1:16">
      <c r="A265" s="292"/>
      <c r="B265" s="8">
        <v>0.91666666666666596</v>
      </c>
      <c r="C265" s="17">
        <f>'Trading Report'!C266</f>
        <v>0</v>
      </c>
      <c r="D265" s="17">
        <f>'Trading Report'!D266</f>
        <v>0</v>
      </c>
      <c r="E265" s="17">
        <f>MQ!AD266</f>
        <v>0</v>
      </c>
      <c r="F265" s="63">
        <f t="shared" si="19"/>
        <v>0</v>
      </c>
      <c r="G265" s="63">
        <f t="shared" si="16"/>
        <v>0</v>
      </c>
      <c r="H265" s="63">
        <f t="shared" si="17"/>
        <v>0</v>
      </c>
      <c r="I265" s="14" t="e">
        <f t="shared" si="18"/>
        <v>#DIV/0!</v>
      </c>
      <c r="N265" s="124" t="s">
        <v>733</v>
      </c>
      <c r="O265" s="105">
        <v>0.93402777777777701</v>
      </c>
      <c r="P265" s="104">
        <v>0.19637208382759982</v>
      </c>
    </row>
    <row r="266" spans="1:16">
      <c r="A266" s="292" t="s">
        <v>24</v>
      </c>
      <c r="B266" s="8">
        <v>0.92013888888888895</v>
      </c>
      <c r="C266" s="17">
        <f>'Trading Report'!C267</f>
        <v>0</v>
      </c>
      <c r="D266" s="17">
        <f>'Trading Report'!D267</f>
        <v>0</v>
      </c>
      <c r="E266" s="17">
        <f>MQ!AD267</f>
        <v>0</v>
      </c>
      <c r="F266" s="63">
        <f t="shared" si="19"/>
        <v>0</v>
      </c>
      <c r="G266" s="63">
        <f t="shared" si="16"/>
        <v>0</v>
      </c>
      <c r="H266" s="63">
        <f t="shared" si="17"/>
        <v>0</v>
      </c>
      <c r="I266" s="14" t="e">
        <f t="shared" si="18"/>
        <v>#DIV/0!</v>
      </c>
      <c r="N266" s="124" t="s">
        <v>734</v>
      </c>
      <c r="O266" s="105">
        <v>0.71180555555555503</v>
      </c>
      <c r="P266" s="104">
        <v>0.20460162119414785</v>
      </c>
    </row>
    <row r="267" spans="1:16">
      <c r="A267" s="292"/>
      <c r="B267" s="8">
        <v>0.92361111111111105</v>
      </c>
      <c r="C267" s="17">
        <f>'Trading Report'!C268</f>
        <v>0</v>
      </c>
      <c r="D267" s="17">
        <f>'Trading Report'!D268</f>
        <v>0</v>
      </c>
      <c r="E267" s="17">
        <f>MQ!AD268</f>
        <v>0</v>
      </c>
      <c r="F267" s="63">
        <f t="shared" si="19"/>
        <v>0</v>
      </c>
      <c r="G267" s="63">
        <f t="shared" si="16"/>
        <v>0</v>
      </c>
      <c r="H267" s="63">
        <f t="shared" si="17"/>
        <v>0</v>
      </c>
      <c r="I267" s="14" t="e">
        <f t="shared" si="18"/>
        <v>#DIV/0!</v>
      </c>
      <c r="N267" s="124" t="s">
        <v>735</v>
      </c>
      <c r="O267" s="105">
        <v>0.94791666666666596</v>
      </c>
      <c r="P267" s="104">
        <v>0.21624159746935545</v>
      </c>
    </row>
    <row r="268" spans="1:16">
      <c r="A268" s="292"/>
      <c r="B268" s="8">
        <v>0.92708333333333304</v>
      </c>
      <c r="C268" s="17">
        <f>'Trading Report'!C269</f>
        <v>0</v>
      </c>
      <c r="D268" s="17">
        <f>'Trading Report'!D269</f>
        <v>0</v>
      </c>
      <c r="E268" s="17">
        <f>MQ!AD269</f>
        <v>0</v>
      </c>
      <c r="F268" s="63">
        <f t="shared" si="19"/>
        <v>0</v>
      </c>
      <c r="G268" s="63">
        <f t="shared" si="16"/>
        <v>0</v>
      </c>
      <c r="H268" s="63">
        <f t="shared" si="17"/>
        <v>0</v>
      </c>
      <c r="I268" s="14" t="e">
        <f t="shared" si="18"/>
        <v>#DIV/0!</v>
      </c>
      <c r="N268" s="124" t="s">
        <v>736</v>
      </c>
      <c r="O268" s="105">
        <v>0.61111111111111105</v>
      </c>
      <c r="P268" s="104">
        <v>0.22669533412415971</v>
      </c>
    </row>
    <row r="269" spans="1:16">
      <c r="A269" s="292"/>
      <c r="B269" s="8">
        <v>0.93055555555555503</v>
      </c>
      <c r="C269" s="17">
        <f>'Trading Report'!C270</f>
        <v>0</v>
      </c>
      <c r="D269" s="17">
        <f>'Trading Report'!D270</f>
        <v>0</v>
      </c>
      <c r="E269" s="17">
        <f>MQ!AD270</f>
        <v>0</v>
      </c>
      <c r="F269" s="63">
        <f t="shared" si="19"/>
        <v>0</v>
      </c>
      <c r="G269" s="63">
        <f t="shared" si="16"/>
        <v>0</v>
      </c>
      <c r="H269" s="63">
        <f t="shared" si="17"/>
        <v>0</v>
      </c>
      <c r="I269" s="14" t="e">
        <f t="shared" si="18"/>
        <v>#DIV/0!</v>
      </c>
      <c r="N269" s="124" t="s">
        <v>737</v>
      </c>
      <c r="O269" s="105">
        <v>0.98263888888888895</v>
      </c>
      <c r="P269" s="104">
        <v>0.22983392645314352</v>
      </c>
    </row>
    <row r="270" spans="1:16">
      <c r="A270" s="292"/>
      <c r="B270" s="8">
        <v>0.93402777777777701</v>
      </c>
      <c r="C270" s="17">
        <f>'Trading Report'!C271</f>
        <v>0</v>
      </c>
      <c r="D270" s="17">
        <f>'Trading Report'!D271</f>
        <v>0</v>
      </c>
      <c r="E270" s="17">
        <f>MQ!AD271</f>
        <v>0</v>
      </c>
      <c r="F270" s="63">
        <f t="shared" si="19"/>
        <v>0</v>
      </c>
      <c r="G270" s="63">
        <f t="shared" si="16"/>
        <v>0</v>
      </c>
      <c r="H270" s="63">
        <f t="shared" si="17"/>
        <v>0</v>
      </c>
      <c r="I270" s="14" t="e">
        <f t="shared" si="18"/>
        <v>#DIV/0!</v>
      </c>
      <c r="N270" s="124" t="s">
        <v>738</v>
      </c>
      <c r="O270" s="105">
        <v>0.73958333333333304</v>
      </c>
      <c r="P270" s="104">
        <v>0.23047647291419532</v>
      </c>
    </row>
    <row r="271" spans="1:16">
      <c r="A271" s="292"/>
      <c r="B271" s="8">
        <v>0.9375</v>
      </c>
      <c r="C271" s="17">
        <f>'Trading Report'!C272</f>
        <v>0</v>
      </c>
      <c r="D271" s="17">
        <f>'Trading Report'!D272</f>
        <v>0</v>
      </c>
      <c r="E271" s="17">
        <f>MQ!AD272</f>
        <v>0</v>
      </c>
      <c r="F271" s="63">
        <f t="shared" si="19"/>
        <v>0</v>
      </c>
      <c r="G271" s="63">
        <f t="shared" si="16"/>
        <v>0</v>
      </c>
      <c r="H271" s="63">
        <f t="shared" si="17"/>
        <v>0</v>
      </c>
      <c r="I271" s="14" t="e">
        <f t="shared" si="18"/>
        <v>#DIV/0!</v>
      </c>
      <c r="N271" s="124" t="s">
        <v>739</v>
      </c>
      <c r="O271" s="105">
        <v>0.97569444444444398</v>
      </c>
      <c r="P271" s="104">
        <v>0.23512257809410833</v>
      </c>
    </row>
    <row r="272" spans="1:16">
      <c r="A272" s="292"/>
      <c r="B272" s="8">
        <v>0.94097222222222199</v>
      </c>
      <c r="C272" s="17">
        <f>'Trading Report'!C273</f>
        <v>0</v>
      </c>
      <c r="D272" s="17">
        <f>'Trading Report'!D273</f>
        <v>0</v>
      </c>
      <c r="E272" s="17">
        <f>MQ!AD273</f>
        <v>0</v>
      </c>
      <c r="F272" s="63">
        <f t="shared" si="19"/>
        <v>0</v>
      </c>
      <c r="G272" s="63">
        <f t="shared" si="16"/>
        <v>0</v>
      </c>
      <c r="H272" s="63">
        <f t="shared" si="17"/>
        <v>0</v>
      </c>
      <c r="I272" s="14" t="e">
        <f t="shared" si="18"/>
        <v>#DIV/0!</v>
      </c>
      <c r="N272" s="124" t="s">
        <v>740</v>
      </c>
      <c r="O272" s="105">
        <v>0.93055555555555503</v>
      </c>
      <c r="P272" s="104">
        <v>0.23739620403321471</v>
      </c>
    </row>
    <row r="273" spans="1:16">
      <c r="A273" s="292"/>
      <c r="B273" s="8">
        <v>0.94444444444444398</v>
      </c>
      <c r="C273" s="17">
        <f>'Trading Report'!C274</f>
        <v>0</v>
      </c>
      <c r="D273" s="17">
        <f>'Trading Report'!D274</f>
        <v>0</v>
      </c>
      <c r="E273" s="17">
        <f>MQ!AD274</f>
        <v>0</v>
      </c>
      <c r="F273" s="63">
        <f t="shared" si="19"/>
        <v>0</v>
      </c>
      <c r="G273" s="63">
        <f t="shared" si="16"/>
        <v>0</v>
      </c>
      <c r="H273" s="63">
        <f t="shared" si="17"/>
        <v>0</v>
      </c>
      <c r="I273" s="14" t="e">
        <f t="shared" si="18"/>
        <v>#DIV/0!</v>
      </c>
      <c r="N273" s="124" t="s">
        <v>741</v>
      </c>
      <c r="O273" s="105">
        <v>0.89583333333333304</v>
      </c>
      <c r="P273" s="104">
        <v>0.23858244365361791</v>
      </c>
    </row>
    <row r="274" spans="1:16">
      <c r="A274" s="292"/>
      <c r="B274" s="8">
        <v>0.94791666666666596</v>
      </c>
      <c r="C274" s="17">
        <f>'Trading Report'!C275</f>
        <v>0</v>
      </c>
      <c r="D274" s="17">
        <f>'Trading Report'!D275</f>
        <v>0</v>
      </c>
      <c r="E274" s="17">
        <f>MQ!AD275</f>
        <v>0</v>
      </c>
      <c r="F274" s="63">
        <f t="shared" si="19"/>
        <v>0</v>
      </c>
      <c r="G274" s="63">
        <f t="shared" si="16"/>
        <v>0</v>
      </c>
      <c r="H274" s="63">
        <f t="shared" si="17"/>
        <v>0</v>
      </c>
      <c r="I274" s="14" t="e">
        <f t="shared" si="18"/>
        <v>#DIV/0!</v>
      </c>
      <c r="N274" s="124" t="s">
        <v>742</v>
      </c>
      <c r="O274" s="105">
        <v>0.97916666666666596</v>
      </c>
      <c r="P274" s="104">
        <v>0.2547943851324635</v>
      </c>
    </row>
    <row r="275" spans="1:16">
      <c r="A275" s="292"/>
      <c r="B275" s="8">
        <v>0.95138888888888895</v>
      </c>
      <c r="C275" s="17">
        <f>'Trading Report'!C276</f>
        <v>0</v>
      </c>
      <c r="D275" s="17">
        <f>'Trading Report'!D276</f>
        <v>0</v>
      </c>
      <c r="E275" s="17">
        <f>MQ!AD276</f>
        <v>0</v>
      </c>
      <c r="F275" s="63">
        <f t="shared" si="19"/>
        <v>0</v>
      </c>
      <c r="G275" s="63">
        <f t="shared" si="16"/>
        <v>0</v>
      </c>
      <c r="H275" s="63">
        <f t="shared" si="17"/>
        <v>0</v>
      </c>
      <c r="I275" s="14" t="e">
        <f t="shared" si="18"/>
        <v>#DIV/0!</v>
      </c>
      <c r="N275" s="124" t="s">
        <v>743</v>
      </c>
      <c r="O275" s="105">
        <v>0.92361111111111105</v>
      </c>
      <c r="P275" s="104">
        <v>0.26339462238038747</v>
      </c>
    </row>
    <row r="276" spans="1:16">
      <c r="A276" s="292"/>
      <c r="B276" s="8">
        <v>0.95486111111111105</v>
      </c>
      <c r="C276" s="17">
        <f>'Trading Report'!C277</f>
        <v>0</v>
      </c>
      <c r="D276" s="17">
        <f>'Trading Report'!D277</f>
        <v>0</v>
      </c>
      <c r="E276" s="17">
        <f>MQ!AD277</f>
        <v>0</v>
      </c>
      <c r="F276" s="63">
        <f t="shared" si="19"/>
        <v>0</v>
      </c>
      <c r="G276" s="63">
        <f t="shared" si="16"/>
        <v>0</v>
      </c>
      <c r="H276" s="63">
        <f t="shared" si="17"/>
        <v>0</v>
      </c>
      <c r="I276" s="14" t="e">
        <f t="shared" si="18"/>
        <v>#DIV/0!</v>
      </c>
      <c r="N276" s="124" t="s">
        <v>744</v>
      </c>
      <c r="O276" s="105">
        <v>0.54166666666666596</v>
      </c>
      <c r="P276" s="104">
        <v>0.2668297746144721</v>
      </c>
    </row>
    <row r="277" spans="1:16">
      <c r="A277" s="292"/>
      <c r="B277" s="8">
        <v>0.95833333333333304</v>
      </c>
      <c r="C277" s="17">
        <f>'Trading Report'!C278</f>
        <v>0</v>
      </c>
      <c r="D277" s="17">
        <f>'Trading Report'!D278</f>
        <v>0</v>
      </c>
      <c r="E277" s="17">
        <f>MQ!AD278</f>
        <v>0</v>
      </c>
      <c r="F277" s="63">
        <f t="shared" si="19"/>
        <v>0</v>
      </c>
      <c r="G277" s="63">
        <f t="shared" si="16"/>
        <v>0</v>
      </c>
      <c r="H277" s="63">
        <f t="shared" si="17"/>
        <v>0</v>
      </c>
      <c r="I277" s="14" t="e">
        <f t="shared" si="18"/>
        <v>#DIV/0!</v>
      </c>
      <c r="N277" s="124" t="s">
        <v>745</v>
      </c>
      <c r="O277" s="105">
        <v>0.95486111111111105</v>
      </c>
      <c r="P277" s="104">
        <v>0.28546362198497438</v>
      </c>
    </row>
    <row r="278" spans="1:16">
      <c r="A278" s="292" t="s">
        <v>25</v>
      </c>
      <c r="B278" s="8">
        <v>0.96180555555555503</v>
      </c>
      <c r="C278" s="17">
        <f>'Trading Report'!C279</f>
        <v>0</v>
      </c>
      <c r="D278" s="17">
        <f>'Trading Report'!D279</f>
        <v>0</v>
      </c>
      <c r="E278" s="17">
        <f>MQ!AD279</f>
        <v>0</v>
      </c>
      <c r="F278" s="63">
        <f t="shared" si="19"/>
        <v>0</v>
      </c>
      <c r="G278" s="63">
        <f t="shared" si="16"/>
        <v>0</v>
      </c>
      <c r="H278" s="63">
        <f t="shared" si="17"/>
        <v>0</v>
      </c>
      <c r="I278" s="14" t="e">
        <f t="shared" si="18"/>
        <v>#DIV/0!</v>
      </c>
      <c r="N278" s="124" t="s">
        <v>746</v>
      </c>
      <c r="O278" s="105">
        <v>0.96180555555555503</v>
      </c>
      <c r="P278" s="104">
        <v>0.3115114669829972</v>
      </c>
    </row>
    <row r="279" spans="1:16">
      <c r="A279" s="292"/>
      <c r="B279" s="8">
        <v>0.96527777777777701</v>
      </c>
      <c r="C279" s="17">
        <f>'Trading Report'!C280</f>
        <v>0</v>
      </c>
      <c r="D279" s="17">
        <f>'Trading Report'!D280</f>
        <v>0</v>
      </c>
      <c r="E279" s="17">
        <f>MQ!AD280</f>
        <v>0</v>
      </c>
      <c r="F279" s="63">
        <f t="shared" si="19"/>
        <v>0</v>
      </c>
      <c r="G279" s="63">
        <f t="shared" si="16"/>
        <v>0</v>
      </c>
      <c r="H279" s="63">
        <f t="shared" si="17"/>
        <v>0</v>
      </c>
      <c r="I279" s="14" t="e">
        <f t="shared" si="18"/>
        <v>#DIV/0!</v>
      </c>
      <c r="N279" s="124" t="s">
        <v>747</v>
      </c>
      <c r="O279" s="105">
        <v>0.92708333333333304</v>
      </c>
      <c r="P279" s="104">
        <v>0.31801107156979036</v>
      </c>
    </row>
    <row r="280" spans="1:16">
      <c r="A280" s="292"/>
      <c r="B280" s="8">
        <v>0.96875</v>
      </c>
      <c r="C280" s="17">
        <f>'Trading Report'!C281</f>
        <v>0</v>
      </c>
      <c r="D280" s="17">
        <f>'Trading Report'!D281</f>
        <v>0</v>
      </c>
      <c r="E280" s="17">
        <f>MQ!AD281</f>
        <v>0</v>
      </c>
      <c r="F280" s="63">
        <f t="shared" si="19"/>
        <v>0</v>
      </c>
      <c r="G280" s="63">
        <f t="shared" si="16"/>
        <v>0</v>
      </c>
      <c r="H280" s="63">
        <f t="shared" si="17"/>
        <v>0</v>
      </c>
      <c r="I280" s="14" t="e">
        <f t="shared" si="18"/>
        <v>#DIV/0!</v>
      </c>
      <c r="N280" s="124" t="s">
        <v>748</v>
      </c>
      <c r="O280" s="105">
        <v>0.89930555555555503</v>
      </c>
      <c r="P280" s="104">
        <v>0.35080565440885719</v>
      </c>
    </row>
    <row r="281" spans="1:16">
      <c r="A281" s="292"/>
      <c r="B281" s="8">
        <v>0.97222222222222199</v>
      </c>
      <c r="C281" s="17">
        <f>'Trading Report'!C282</f>
        <v>0</v>
      </c>
      <c r="D281" s="17">
        <f>'Trading Report'!D282</f>
        <v>0</v>
      </c>
      <c r="E281" s="17">
        <f>MQ!AD282</f>
        <v>0</v>
      </c>
      <c r="F281" s="63">
        <f t="shared" si="19"/>
        <v>0</v>
      </c>
      <c r="G281" s="63">
        <f t="shared" si="16"/>
        <v>0</v>
      </c>
      <c r="H281" s="63">
        <f t="shared" si="17"/>
        <v>0</v>
      </c>
      <c r="I281" s="14" t="e">
        <f t="shared" si="18"/>
        <v>#DIV/0!</v>
      </c>
      <c r="N281" s="124" t="s">
        <v>749</v>
      </c>
      <c r="O281" s="105">
        <v>0.92013888888888895</v>
      </c>
      <c r="P281" s="104">
        <v>0.35416666666666663</v>
      </c>
    </row>
    <row r="282" spans="1:16">
      <c r="A282" s="292"/>
      <c r="B282" s="8">
        <v>0.97569444444444398</v>
      </c>
      <c r="C282" s="17">
        <f>'Trading Report'!C283</f>
        <v>0</v>
      </c>
      <c r="D282" s="17">
        <f>'Trading Report'!D283</f>
        <v>0</v>
      </c>
      <c r="E282" s="17">
        <f>MQ!AD283</f>
        <v>0</v>
      </c>
      <c r="F282" s="63">
        <f t="shared" si="19"/>
        <v>0</v>
      </c>
      <c r="G282" s="63">
        <f t="shared" si="16"/>
        <v>0</v>
      </c>
      <c r="H282" s="63">
        <f t="shared" si="17"/>
        <v>0</v>
      </c>
      <c r="I282" s="14" t="e">
        <f t="shared" si="18"/>
        <v>#DIV/0!</v>
      </c>
      <c r="N282" s="124" t="s">
        <v>750</v>
      </c>
      <c r="O282" s="105">
        <v>0.95833333333333304</v>
      </c>
      <c r="P282" s="104">
        <v>0.35957888493475687</v>
      </c>
    </row>
    <row r="283" spans="1:16">
      <c r="A283" s="292"/>
      <c r="B283" s="8">
        <v>0.97916666666666596</v>
      </c>
      <c r="C283" s="17">
        <f>'Trading Report'!C284</f>
        <v>0</v>
      </c>
      <c r="D283" s="17">
        <f>'Trading Report'!D284</f>
        <v>0</v>
      </c>
      <c r="E283" s="17">
        <f>MQ!AD284</f>
        <v>0</v>
      </c>
      <c r="F283" s="63">
        <f t="shared" si="19"/>
        <v>0</v>
      </c>
      <c r="G283" s="63">
        <f t="shared" si="16"/>
        <v>0</v>
      </c>
      <c r="H283" s="63">
        <f t="shared" si="17"/>
        <v>0</v>
      </c>
      <c r="I283" s="14" t="e">
        <f t="shared" si="18"/>
        <v>#DIV/0!</v>
      </c>
      <c r="N283" s="124" t="s">
        <v>751</v>
      </c>
      <c r="O283" s="105">
        <v>0.90625</v>
      </c>
      <c r="P283" s="104">
        <v>0.3840203637801502</v>
      </c>
    </row>
    <row r="284" spans="1:16">
      <c r="A284" s="292"/>
      <c r="B284" s="8">
        <v>0.98263888888888895</v>
      </c>
      <c r="C284" s="17">
        <f>'Trading Report'!C285</f>
        <v>0</v>
      </c>
      <c r="D284" s="17">
        <f>'Trading Report'!D285</f>
        <v>0</v>
      </c>
      <c r="E284" s="17">
        <f>MQ!AD285</f>
        <v>0</v>
      </c>
      <c r="F284" s="63">
        <f t="shared" si="19"/>
        <v>0</v>
      </c>
      <c r="G284" s="63">
        <f t="shared" si="16"/>
        <v>0</v>
      </c>
      <c r="H284" s="63">
        <f t="shared" si="17"/>
        <v>0</v>
      </c>
      <c r="I284" s="14" t="e">
        <f t="shared" si="18"/>
        <v>#DIV/0!</v>
      </c>
      <c r="N284" s="124" t="s">
        <v>752</v>
      </c>
      <c r="O284" s="105">
        <v>0.90972222222222199</v>
      </c>
      <c r="P284" s="104">
        <v>0.38861704230921307</v>
      </c>
    </row>
    <row r="285" spans="1:16">
      <c r="A285" s="292"/>
      <c r="B285" s="8">
        <v>0.98611111111111105</v>
      </c>
      <c r="C285" s="17">
        <f>'Trading Report'!C286</f>
        <v>0</v>
      </c>
      <c r="D285" s="17">
        <f>'Trading Report'!D286</f>
        <v>0</v>
      </c>
      <c r="E285" s="17">
        <f>MQ!AD286</f>
        <v>0</v>
      </c>
      <c r="F285" s="63">
        <f t="shared" si="19"/>
        <v>0</v>
      </c>
      <c r="G285" s="63">
        <f t="shared" si="16"/>
        <v>0</v>
      </c>
      <c r="H285" s="63">
        <f t="shared" si="17"/>
        <v>0</v>
      </c>
      <c r="I285" s="14" t="e">
        <f t="shared" si="18"/>
        <v>#DIV/0!</v>
      </c>
      <c r="N285" s="124" t="s">
        <v>753</v>
      </c>
      <c r="O285" s="105">
        <v>0.90277777777777701</v>
      </c>
      <c r="P285" s="104">
        <v>0.40013345195729538</v>
      </c>
    </row>
    <row r="286" spans="1:16">
      <c r="A286" s="292"/>
      <c r="B286" s="8">
        <v>0.98958333333333304</v>
      </c>
      <c r="C286" s="17">
        <f>'Trading Report'!C287</f>
        <v>0</v>
      </c>
      <c r="D286" s="17">
        <f>'Trading Report'!D287</f>
        <v>0</v>
      </c>
      <c r="E286" s="17">
        <f>MQ!AD287</f>
        <v>0</v>
      </c>
      <c r="F286" s="63">
        <f t="shared" si="19"/>
        <v>0</v>
      </c>
      <c r="G286" s="63">
        <f t="shared" si="16"/>
        <v>0</v>
      </c>
      <c r="H286" s="63">
        <f t="shared" si="17"/>
        <v>0</v>
      </c>
      <c r="I286" s="14" t="e">
        <f t="shared" si="18"/>
        <v>#DIV/0!</v>
      </c>
      <c r="N286" s="124" t="s">
        <v>754</v>
      </c>
      <c r="O286" s="105">
        <v>0.27777777777777801</v>
      </c>
      <c r="P286" s="104">
        <v>0.40374159746935551</v>
      </c>
    </row>
    <row r="287" spans="1:16">
      <c r="A287" s="292"/>
      <c r="B287" s="8">
        <v>0.99305555555555503</v>
      </c>
      <c r="C287" s="17">
        <f>'Trading Report'!C288</f>
        <v>0</v>
      </c>
      <c r="D287" s="17">
        <f>'Trading Report'!D288</f>
        <v>0</v>
      </c>
      <c r="E287" s="17">
        <f>MQ!AD288</f>
        <v>0</v>
      </c>
      <c r="F287" s="63">
        <f t="shared" si="19"/>
        <v>0</v>
      </c>
      <c r="G287" s="63">
        <f t="shared" si="16"/>
        <v>0</v>
      </c>
      <c r="H287" s="63">
        <f t="shared" si="17"/>
        <v>0</v>
      </c>
      <c r="I287" s="14" t="e">
        <f t="shared" si="18"/>
        <v>#DIV/0!</v>
      </c>
      <c r="N287" s="124" t="s">
        <v>755</v>
      </c>
      <c r="O287" s="105">
        <v>0.28819444444444398</v>
      </c>
      <c r="P287" s="104">
        <v>0.45989027283511275</v>
      </c>
    </row>
    <row r="288" spans="1:16">
      <c r="A288" s="292"/>
      <c r="B288" s="8">
        <v>0.99652777777777701</v>
      </c>
      <c r="C288" s="17">
        <f>'Trading Report'!C289</f>
        <v>0</v>
      </c>
      <c r="D288" s="17">
        <f>'Trading Report'!D289</f>
        <v>0</v>
      </c>
      <c r="E288" s="17">
        <f>MQ!AD289</f>
        <v>0</v>
      </c>
      <c r="F288" s="63">
        <f t="shared" si="19"/>
        <v>0</v>
      </c>
      <c r="G288" s="63">
        <f t="shared" si="16"/>
        <v>0</v>
      </c>
      <c r="H288" s="63">
        <f t="shared" si="17"/>
        <v>0</v>
      </c>
      <c r="I288" s="14" t="e">
        <f t="shared" si="18"/>
        <v>#DIV/0!</v>
      </c>
      <c r="N288" s="124" t="s">
        <v>756</v>
      </c>
      <c r="O288" s="105">
        <v>0.91666666666666596</v>
      </c>
      <c r="P288" s="104">
        <v>0.48237939897192572</v>
      </c>
    </row>
    <row r="289" spans="1:16">
      <c r="A289" s="292"/>
      <c r="B289" s="8">
        <v>1</v>
      </c>
      <c r="C289" s="17">
        <f>'Trading Report'!C290</f>
        <v>0</v>
      </c>
      <c r="D289" s="17">
        <f>'Trading Report'!D290</f>
        <v>0</v>
      </c>
      <c r="E289" s="17">
        <f>MQ!AD290</f>
        <v>0</v>
      </c>
      <c r="F289" s="63">
        <f t="shared" si="19"/>
        <v>0</v>
      </c>
      <c r="G289" s="63">
        <f t="shared" si="16"/>
        <v>0</v>
      </c>
      <c r="H289" s="63">
        <f t="shared" si="17"/>
        <v>0</v>
      </c>
      <c r="I289" s="14" t="e">
        <f t="shared" si="18"/>
        <v>#DIV/0!</v>
      </c>
      <c r="N289" s="124" t="s">
        <v>757</v>
      </c>
      <c r="O289" s="105">
        <v>0.91319444444444398</v>
      </c>
      <c r="P289" s="104">
        <v>0.5013592328983788</v>
      </c>
    </row>
  </sheetData>
  <sortState xmlns:xlrd2="http://schemas.microsoft.com/office/spreadsheetml/2017/richdata2" ref="O2:P289">
    <sortCondition ref="P2:P289"/>
  </sortState>
  <mergeCells count="28">
    <mergeCell ref="A278:A289"/>
    <mergeCell ref="A146:A157"/>
    <mergeCell ref="A158:A169"/>
    <mergeCell ref="A170:A181"/>
    <mergeCell ref="A182:A193"/>
    <mergeCell ref="A194:A205"/>
    <mergeCell ref="A206:A217"/>
    <mergeCell ref="A218:A229"/>
    <mergeCell ref="A230:A241"/>
    <mergeCell ref="A242:A253"/>
    <mergeCell ref="A254:A265"/>
    <mergeCell ref="A266:A277"/>
    <mergeCell ref="K12:L12"/>
    <mergeCell ref="K13:L13"/>
    <mergeCell ref="K19:L19"/>
    <mergeCell ref="K23:L25"/>
    <mergeCell ref="A134:A145"/>
    <mergeCell ref="A2:A13"/>
    <mergeCell ref="A14:A25"/>
    <mergeCell ref="A26:A37"/>
    <mergeCell ref="A38:A49"/>
    <mergeCell ref="A50:A61"/>
    <mergeCell ref="A62:A73"/>
    <mergeCell ref="A74:A85"/>
    <mergeCell ref="A86:A97"/>
    <mergeCell ref="A98:A109"/>
    <mergeCell ref="A110:A121"/>
    <mergeCell ref="A122:A133"/>
  </mergeCells>
  <phoneticPr fontId="9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DB009-A27E-4980-9128-05F937EC9A16}">
  <dimension ref="A1:M289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21" bestFit="1" customWidth="1"/>
    <col min="2" max="2" width="22.140625" bestFit="1" customWidth="1"/>
    <col min="3" max="3" width="10" bestFit="1" customWidth="1"/>
    <col min="4" max="4" width="22.140625" bestFit="1" customWidth="1"/>
    <col min="5" max="5" width="14.42578125" bestFit="1" customWidth="1"/>
    <col min="6" max="6" width="16.7109375" bestFit="1" customWidth="1"/>
    <col min="7" max="7" width="15.42578125" bestFit="1" customWidth="1"/>
    <col min="8" max="8" width="11.28515625" bestFit="1" customWidth="1"/>
    <col min="9" max="9" width="11" bestFit="1" customWidth="1"/>
    <col min="10" max="10" width="13.42578125" bestFit="1" customWidth="1"/>
    <col min="11" max="11" width="11" bestFit="1" customWidth="1"/>
    <col min="12" max="12" width="10.7109375" bestFit="1" customWidth="1"/>
    <col min="13" max="13" width="17.7109375" bestFit="1" customWidth="1"/>
  </cols>
  <sheetData>
    <row r="1" spans="1:13">
      <c r="A1" s="22" t="s">
        <v>431</v>
      </c>
      <c r="B1" s="22" t="s">
        <v>33</v>
      </c>
      <c r="C1" s="22" t="s">
        <v>94</v>
      </c>
      <c r="D1" s="40" t="s">
        <v>95</v>
      </c>
      <c r="E1" s="22" t="s">
        <v>96</v>
      </c>
      <c r="F1" s="22" t="s">
        <v>97</v>
      </c>
      <c r="G1" s="22" t="s">
        <v>98</v>
      </c>
      <c r="H1" s="22" t="s">
        <v>99</v>
      </c>
      <c r="I1" s="40" t="s">
        <v>100</v>
      </c>
      <c r="J1" s="22" t="s">
        <v>101</v>
      </c>
      <c r="K1" s="22" t="s">
        <v>102</v>
      </c>
      <c r="L1" s="22" t="s">
        <v>103</v>
      </c>
      <c r="M1" s="22" t="s">
        <v>104</v>
      </c>
    </row>
    <row r="2" spans="1:13">
      <c r="A2" s="19"/>
      <c r="B2" s="19"/>
      <c r="C2" s="19"/>
      <c r="D2" s="41"/>
      <c r="E2" s="19"/>
      <c r="F2" s="19"/>
      <c r="G2" s="19"/>
      <c r="H2" s="19"/>
      <c r="I2" s="41"/>
      <c r="J2" s="19"/>
      <c r="K2" s="19"/>
      <c r="L2" s="19"/>
      <c r="M2" s="19"/>
    </row>
    <row r="3" spans="1:13">
      <c r="A3" s="19"/>
      <c r="B3" s="19"/>
      <c r="C3" s="19"/>
      <c r="D3" s="41"/>
      <c r="E3" s="19"/>
      <c r="F3" s="19"/>
      <c r="G3" s="19"/>
      <c r="H3" s="19"/>
      <c r="I3" s="41"/>
      <c r="J3" s="19"/>
      <c r="K3" s="19"/>
      <c r="L3" s="19"/>
      <c r="M3" s="19"/>
    </row>
    <row r="4" spans="1:13">
      <c r="A4" s="19"/>
      <c r="B4" s="19"/>
      <c r="C4" s="19"/>
      <c r="D4" s="41"/>
      <c r="E4" s="19"/>
      <c r="F4" s="19"/>
      <c r="G4" s="19"/>
      <c r="H4" s="19"/>
      <c r="I4" s="41"/>
      <c r="J4" s="19"/>
      <c r="K4" s="19"/>
      <c r="L4" s="19"/>
      <c r="M4" s="19"/>
    </row>
    <row r="5" spans="1:13">
      <c r="A5" s="19"/>
      <c r="B5" s="19"/>
      <c r="C5" s="19"/>
      <c r="D5" s="41"/>
      <c r="E5" s="19"/>
      <c r="F5" s="19"/>
      <c r="G5" s="19"/>
      <c r="H5" s="19"/>
      <c r="I5" s="41"/>
      <c r="J5" s="19"/>
      <c r="K5" s="19"/>
      <c r="L5" s="19"/>
      <c r="M5" s="19"/>
    </row>
    <row r="6" spans="1:13">
      <c r="A6" s="19"/>
      <c r="B6" s="19"/>
      <c r="C6" s="19"/>
      <c r="D6" s="41"/>
      <c r="E6" s="19"/>
      <c r="F6" s="19"/>
      <c r="G6" s="19"/>
      <c r="H6" s="19"/>
      <c r="I6" s="41"/>
      <c r="J6" s="19"/>
      <c r="K6" s="19"/>
      <c r="L6" s="19"/>
      <c r="M6" s="19"/>
    </row>
    <row r="7" spans="1:13">
      <c r="A7" s="19"/>
      <c r="B7" s="19"/>
      <c r="C7" s="19"/>
      <c r="D7" s="41"/>
      <c r="E7" s="19"/>
      <c r="F7" s="19"/>
      <c r="G7" s="19"/>
      <c r="H7" s="19"/>
      <c r="I7" s="41"/>
      <c r="J7" s="19"/>
      <c r="K7" s="19"/>
      <c r="L7" s="19"/>
      <c r="M7" s="19"/>
    </row>
    <row r="8" spans="1:13">
      <c r="A8" s="19"/>
      <c r="B8" s="19"/>
      <c r="C8" s="19"/>
      <c r="D8" s="41"/>
      <c r="E8" s="19"/>
      <c r="F8" s="19"/>
      <c r="G8" s="19"/>
      <c r="H8" s="19"/>
      <c r="I8" s="41"/>
      <c r="J8" s="19"/>
      <c r="K8" s="19"/>
      <c r="L8" s="19"/>
      <c r="M8" s="19"/>
    </row>
    <row r="9" spans="1:13">
      <c r="A9" s="19"/>
      <c r="B9" s="19"/>
      <c r="C9" s="19"/>
      <c r="D9" s="41"/>
      <c r="E9" s="19"/>
      <c r="F9" s="19"/>
      <c r="G9" s="19"/>
      <c r="H9" s="19"/>
      <c r="I9" s="41"/>
      <c r="J9" s="19"/>
      <c r="K9" s="19"/>
      <c r="L9" s="19"/>
      <c r="M9" s="19"/>
    </row>
    <row r="10" spans="1:13">
      <c r="A10" s="19"/>
      <c r="B10" s="19"/>
      <c r="C10" s="19"/>
      <c r="D10" s="41"/>
      <c r="E10" s="19"/>
      <c r="F10" s="19"/>
      <c r="G10" s="19"/>
      <c r="H10" s="19"/>
      <c r="I10" s="41"/>
      <c r="J10" s="19"/>
      <c r="K10" s="19"/>
      <c r="L10" s="19"/>
      <c r="M10" s="19"/>
    </row>
    <row r="11" spans="1:13">
      <c r="A11" s="19"/>
      <c r="B11" s="19"/>
      <c r="C11" s="19"/>
      <c r="D11" s="41"/>
      <c r="E11" s="19"/>
      <c r="F11" s="19"/>
      <c r="G11" s="19"/>
      <c r="H11" s="19"/>
      <c r="I11" s="41"/>
      <c r="J11" s="19"/>
      <c r="K11" s="19"/>
      <c r="L11" s="19"/>
      <c r="M11" s="19"/>
    </row>
    <row r="12" spans="1:13">
      <c r="A12" s="19"/>
      <c r="B12" s="19"/>
      <c r="C12" s="19"/>
      <c r="D12" s="41"/>
      <c r="E12" s="19"/>
      <c r="F12" s="19"/>
      <c r="G12" s="19"/>
      <c r="H12" s="19"/>
      <c r="I12" s="41"/>
      <c r="J12" s="19"/>
      <c r="K12" s="19"/>
      <c r="L12" s="19"/>
      <c r="M12" s="19"/>
    </row>
    <row r="13" spans="1:13">
      <c r="A13" s="19"/>
      <c r="B13" s="19"/>
      <c r="C13" s="19"/>
      <c r="D13" s="41"/>
      <c r="E13" s="19"/>
      <c r="F13" s="19"/>
      <c r="G13" s="19"/>
      <c r="H13" s="19"/>
      <c r="I13" s="41"/>
      <c r="J13" s="19"/>
      <c r="K13" s="19"/>
      <c r="L13" s="19"/>
      <c r="M13" s="19"/>
    </row>
    <row r="14" spans="1:13">
      <c r="A14" s="19"/>
      <c r="B14" s="19"/>
      <c r="C14" s="19"/>
      <c r="D14" s="41"/>
      <c r="E14" s="19"/>
      <c r="F14" s="19"/>
      <c r="G14" s="19"/>
      <c r="H14" s="19"/>
      <c r="I14" s="41"/>
      <c r="J14" s="19"/>
      <c r="K14" s="19"/>
      <c r="L14" s="19"/>
      <c r="M14" s="19"/>
    </row>
    <row r="15" spans="1:13">
      <c r="A15" s="19"/>
      <c r="B15" s="19"/>
      <c r="C15" s="19"/>
      <c r="D15" s="41"/>
      <c r="E15" s="19"/>
      <c r="F15" s="19"/>
      <c r="G15" s="19"/>
      <c r="H15" s="19"/>
      <c r="I15" s="41"/>
      <c r="J15" s="19"/>
      <c r="K15" s="19"/>
      <c r="L15" s="19"/>
      <c r="M15" s="19"/>
    </row>
    <row r="16" spans="1:13">
      <c r="A16" s="19"/>
      <c r="B16" s="19"/>
      <c r="C16" s="19"/>
      <c r="D16" s="41"/>
      <c r="E16" s="19"/>
      <c r="F16" s="19"/>
      <c r="G16" s="19"/>
      <c r="H16" s="19"/>
      <c r="I16" s="41"/>
      <c r="J16" s="19"/>
      <c r="K16" s="19"/>
      <c r="L16" s="19"/>
      <c r="M16" s="19"/>
    </row>
    <row r="17" spans="1:13">
      <c r="A17" s="19"/>
      <c r="B17" s="19"/>
      <c r="C17" s="19"/>
      <c r="D17" s="41"/>
      <c r="E17" s="19"/>
      <c r="F17" s="19"/>
      <c r="G17" s="19"/>
      <c r="H17" s="19"/>
      <c r="I17" s="41"/>
      <c r="J17" s="19"/>
      <c r="K17" s="19"/>
      <c r="L17" s="19"/>
      <c r="M17" s="19"/>
    </row>
    <row r="18" spans="1:13">
      <c r="A18" s="19"/>
      <c r="B18" s="19"/>
      <c r="C18" s="19"/>
      <c r="D18" s="41"/>
      <c r="E18" s="19"/>
      <c r="F18" s="19"/>
      <c r="G18" s="19"/>
      <c r="H18" s="19"/>
      <c r="I18" s="41"/>
      <c r="J18" s="19"/>
      <c r="K18" s="19"/>
      <c r="L18" s="19"/>
      <c r="M18" s="19"/>
    </row>
    <row r="19" spans="1:13">
      <c r="A19" s="19"/>
      <c r="B19" s="19"/>
      <c r="C19" s="19"/>
      <c r="D19" s="41"/>
      <c r="E19" s="19"/>
      <c r="F19" s="19"/>
      <c r="G19" s="19"/>
      <c r="H19" s="19"/>
      <c r="I19" s="41"/>
      <c r="J19" s="19"/>
      <c r="K19" s="19"/>
      <c r="L19" s="19"/>
      <c r="M19" s="19"/>
    </row>
    <row r="20" spans="1:13">
      <c r="A20" s="19"/>
      <c r="B20" s="19"/>
      <c r="C20" s="19"/>
      <c r="D20" s="41"/>
      <c r="E20" s="19"/>
      <c r="F20" s="19"/>
      <c r="G20" s="19"/>
      <c r="H20" s="19"/>
      <c r="I20" s="41"/>
      <c r="J20" s="19"/>
      <c r="K20" s="19"/>
      <c r="L20" s="19"/>
      <c r="M20" s="19"/>
    </row>
    <row r="21" spans="1:13">
      <c r="A21" s="19"/>
      <c r="B21" s="19"/>
      <c r="C21" s="19"/>
      <c r="D21" s="41"/>
      <c r="E21" s="19"/>
      <c r="F21" s="19"/>
      <c r="G21" s="19"/>
      <c r="H21" s="19"/>
      <c r="I21" s="41"/>
      <c r="J21" s="19"/>
      <c r="K21" s="19"/>
      <c r="L21" s="19"/>
      <c r="M21" s="19"/>
    </row>
    <row r="22" spans="1:13">
      <c r="A22" s="19"/>
      <c r="B22" s="19"/>
      <c r="C22" s="19"/>
      <c r="D22" s="41"/>
      <c r="E22" s="19"/>
      <c r="F22" s="19"/>
      <c r="G22" s="19"/>
      <c r="H22" s="19"/>
      <c r="I22" s="41"/>
      <c r="J22" s="19"/>
      <c r="K22" s="19"/>
      <c r="L22" s="19"/>
      <c r="M22" s="19"/>
    </row>
    <row r="23" spans="1:13">
      <c r="A23" s="19"/>
      <c r="B23" s="19"/>
      <c r="C23" s="19"/>
      <c r="D23" s="41"/>
      <c r="E23" s="19"/>
      <c r="F23" s="19"/>
      <c r="G23" s="19"/>
      <c r="H23" s="19"/>
      <c r="I23" s="41"/>
      <c r="J23" s="19"/>
      <c r="K23" s="19"/>
      <c r="L23" s="19"/>
      <c r="M23" s="19"/>
    </row>
    <row r="24" spans="1:13">
      <c r="A24" s="19"/>
      <c r="B24" s="19"/>
      <c r="C24" s="19"/>
      <c r="D24" s="41"/>
      <c r="E24" s="19"/>
      <c r="F24" s="19"/>
      <c r="G24" s="19"/>
      <c r="H24" s="19"/>
      <c r="I24" s="41"/>
      <c r="J24" s="19"/>
      <c r="K24" s="19"/>
      <c r="L24" s="19"/>
      <c r="M24" s="19"/>
    </row>
    <row r="25" spans="1:13">
      <c r="A25" s="19"/>
      <c r="B25" s="19"/>
      <c r="C25" s="19"/>
      <c r="D25" s="41"/>
      <c r="E25" s="19"/>
      <c r="F25" s="19"/>
      <c r="G25" s="19"/>
      <c r="H25" s="19"/>
      <c r="I25" s="41"/>
      <c r="J25" s="19"/>
      <c r="K25" s="19"/>
      <c r="L25" s="19"/>
      <c r="M25" s="19"/>
    </row>
    <row r="26" spans="1:13">
      <c r="A26" s="19"/>
      <c r="B26" s="19"/>
      <c r="C26" s="19"/>
      <c r="D26" s="41"/>
      <c r="E26" s="19"/>
      <c r="F26" s="19"/>
      <c r="G26" s="19"/>
      <c r="H26" s="19"/>
      <c r="I26" s="41"/>
      <c r="J26" s="19"/>
      <c r="K26" s="19"/>
      <c r="L26" s="19"/>
      <c r="M26" s="19"/>
    </row>
    <row r="27" spans="1:13">
      <c r="A27" s="19"/>
      <c r="B27" s="19"/>
      <c r="C27" s="19"/>
      <c r="D27" s="41"/>
      <c r="E27" s="19"/>
      <c r="F27" s="19"/>
      <c r="G27" s="19"/>
      <c r="H27" s="19"/>
      <c r="I27" s="41"/>
      <c r="J27" s="19"/>
      <c r="K27" s="19"/>
      <c r="L27" s="19"/>
      <c r="M27" s="19"/>
    </row>
    <row r="28" spans="1:13">
      <c r="A28" s="19"/>
      <c r="B28" s="19"/>
      <c r="C28" s="19"/>
      <c r="D28" s="41"/>
      <c r="E28" s="19"/>
      <c r="F28" s="19"/>
      <c r="G28" s="19"/>
      <c r="H28" s="19"/>
      <c r="I28" s="41"/>
      <c r="J28" s="19"/>
      <c r="K28" s="19"/>
      <c r="L28" s="19"/>
      <c r="M28" s="19"/>
    </row>
    <row r="29" spans="1:13">
      <c r="A29" s="19"/>
      <c r="B29" s="19"/>
      <c r="C29" s="19"/>
      <c r="D29" s="41"/>
      <c r="E29" s="19"/>
      <c r="F29" s="19"/>
      <c r="G29" s="19"/>
      <c r="H29" s="19"/>
      <c r="I29" s="41"/>
      <c r="J29" s="19"/>
      <c r="K29" s="19"/>
      <c r="L29" s="19"/>
      <c r="M29" s="19"/>
    </row>
    <row r="30" spans="1:13">
      <c r="A30" s="19"/>
      <c r="B30" s="19"/>
      <c r="C30" s="19"/>
      <c r="D30" s="41"/>
      <c r="E30" s="19"/>
      <c r="F30" s="19"/>
      <c r="G30" s="19"/>
      <c r="H30" s="19"/>
      <c r="I30" s="41"/>
      <c r="J30" s="19"/>
      <c r="K30" s="19"/>
      <c r="L30" s="19"/>
      <c r="M30" s="19"/>
    </row>
    <row r="31" spans="1:13">
      <c r="A31" s="19"/>
      <c r="B31" s="19"/>
      <c r="C31" s="19"/>
      <c r="D31" s="41"/>
      <c r="E31" s="19"/>
      <c r="F31" s="19"/>
      <c r="G31" s="19"/>
      <c r="H31" s="19"/>
      <c r="I31" s="41"/>
      <c r="J31" s="19"/>
      <c r="K31" s="19"/>
      <c r="L31" s="19"/>
      <c r="M31" s="19"/>
    </row>
    <row r="32" spans="1:13">
      <c r="A32" s="19"/>
      <c r="B32" s="19"/>
      <c r="C32" s="19"/>
      <c r="D32" s="41"/>
      <c r="E32" s="19"/>
      <c r="F32" s="19"/>
      <c r="G32" s="19"/>
      <c r="H32" s="19"/>
      <c r="I32" s="41"/>
      <c r="J32" s="19"/>
      <c r="K32" s="19"/>
      <c r="L32" s="19"/>
      <c r="M32" s="19"/>
    </row>
    <row r="33" spans="1:13">
      <c r="A33" s="19"/>
      <c r="B33" s="19"/>
      <c r="C33" s="19"/>
      <c r="D33" s="41"/>
      <c r="E33" s="19"/>
      <c r="F33" s="19"/>
      <c r="G33" s="19"/>
      <c r="H33" s="19"/>
      <c r="I33" s="41"/>
      <c r="J33" s="19"/>
      <c r="K33" s="19"/>
      <c r="L33" s="19"/>
      <c r="M33" s="19"/>
    </row>
    <row r="34" spans="1:13">
      <c r="A34" s="19"/>
      <c r="B34" s="19"/>
      <c r="C34" s="19"/>
      <c r="D34" s="41"/>
      <c r="E34" s="19"/>
      <c r="F34" s="19"/>
      <c r="G34" s="19"/>
      <c r="H34" s="19"/>
      <c r="I34" s="41"/>
      <c r="J34" s="19"/>
      <c r="K34" s="19"/>
      <c r="L34" s="19"/>
      <c r="M34" s="19"/>
    </row>
    <row r="35" spans="1:13">
      <c r="A35" s="19"/>
      <c r="B35" s="19"/>
      <c r="C35" s="19"/>
      <c r="D35" s="41"/>
      <c r="E35" s="19"/>
      <c r="F35" s="19"/>
      <c r="G35" s="19"/>
      <c r="H35" s="19"/>
      <c r="I35" s="41"/>
      <c r="J35" s="19"/>
      <c r="K35" s="19"/>
      <c r="L35" s="19"/>
      <c r="M35" s="19"/>
    </row>
    <row r="36" spans="1:13">
      <c r="A36" s="19"/>
      <c r="B36" s="19"/>
      <c r="C36" s="19"/>
      <c r="D36" s="41"/>
      <c r="E36" s="19"/>
      <c r="F36" s="19"/>
      <c r="G36" s="19"/>
      <c r="H36" s="19"/>
      <c r="I36" s="41"/>
      <c r="J36" s="19"/>
      <c r="K36" s="19"/>
      <c r="L36" s="19"/>
      <c r="M36" s="19"/>
    </row>
    <row r="37" spans="1:13">
      <c r="A37" s="19"/>
      <c r="B37" s="19"/>
      <c r="C37" s="19"/>
      <c r="D37" s="41"/>
      <c r="E37" s="19"/>
      <c r="F37" s="19"/>
      <c r="G37" s="19"/>
      <c r="H37" s="19"/>
      <c r="I37" s="41"/>
      <c r="J37" s="19"/>
      <c r="K37" s="19"/>
      <c r="L37" s="19"/>
      <c r="M37" s="19"/>
    </row>
    <row r="38" spans="1:13">
      <c r="A38" s="19"/>
      <c r="B38" s="19"/>
      <c r="C38" s="19"/>
      <c r="D38" s="41"/>
      <c r="E38" s="19"/>
      <c r="F38" s="19"/>
      <c r="G38" s="19"/>
      <c r="H38" s="19"/>
      <c r="I38" s="41"/>
      <c r="J38" s="19"/>
      <c r="K38" s="19"/>
      <c r="L38" s="19"/>
      <c r="M38" s="19"/>
    </row>
    <row r="39" spans="1:13">
      <c r="A39" s="19"/>
      <c r="B39" s="19"/>
      <c r="C39" s="19"/>
      <c r="D39" s="41"/>
      <c r="E39" s="19"/>
      <c r="F39" s="19"/>
      <c r="G39" s="19"/>
      <c r="H39" s="19"/>
      <c r="I39" s="41"/>
      <c r="J39" s="19"/>
      <c r="K39" s="19"/>
      <c r="L39" s="19"/>
      <c r="M39" s="19"/>
    </row>
    <row r="40" spans="1:13">
      <c r="A40" s="19"/>
      <c r="B40" s="19"/>
      <c r="C40" s="19"/>
      <c r="D40" s="41"/>
      <c r="E40" s="19"/>
      <c r="F40" s="19"/>
      <c r="G40" s="19"/>
      <c r="H40" s="19"/>
      <c r="I40" s="41"/>
      <c r="J40" s="19"/>
      <c r="K40" s="19"/>
      <c r="L40" s="19"/>
      <c r="M40" s="19"/>
    </row>
    <row r="41" spans="1:13">
      <c r="A41" s="19"/>
      <c r="B41" s="19"/>
      <c r="C41" s="19"/>
      <c r="D41" s="41"/>
      <c r="E41" s="19"/>
      <c r="F41" s="19"/>
      <c r="G41" s="19"/>
      <c r="H41" s="19"/>
      <c r="I41" s="41"/>
      <c r="J41" s="19"/>
      <c r="K41" s="19"/>
      <c r="L41" s="19"/>
      <c r="M41" s="19"/>
    </row>
    <row r="42" spans="1:13">
      <c r="A42" s="19"/>
      <c r="B42" s="19"/>
      <c r="C42" s="19"/>
      <c r="D42" s="41"/>
      <c r="E42" s="19"/>
      <c r="F42" s="19"/>
      <c r="G42" s="19"/>
      <c r="H42" s="19"/>
      <c r="I42" s="41"/>
      <c r="J42" s="19"/>
      <c r="K42" s="19"/>
      <c r="L42" s="19"/>
      <c r="M42" s="19"/>
    </row>
    <row r="43" spans="1:13">
      <c r="A43" s="19"/>
      <c r="B43" s="19"/>
      <c r="C43" s="19"/>
      <c r="D43" s="41"/>
      <c r="E43" s="19"/>
      <c r="F43" s="19"/>
      <c r="G43" s="19"/>
      <c r="H43" s="19"/>
      <c r="I43" s="41"/>
      <c r="J43" s="19"/>
      <c r="K43" s="19"/>
      <c r="L43" s="19"/>
      <c r="M43" s="19"/>
    </row>
    <row r="44" spans="1:13">
      <c r="A44" s="19"/>
      <c r="B44" s="19"/>
      <c r="C44" s="19"/>
      <c r="D44" s="41"/>
      <c r="E44" s="19"/>
      <c r="F44" s="19"/>
      <c r="G44" s="19"/>
      <c r="H44" s="19"/>
      <c r="I44" s="41"/>
      <c r="J44" s="19"/>
      <c r="K44" s="19"/>
      <c r="L44" s="19"/>
      <c r="M44" s="19"/>
    </row>
    <row r="45" spans="1:13">
      <c r="A45" s="19"/>
      <c r="B45" s="19"/>
      <c r="C45" s="19"/>
      <c r="D45" s="41"/>
      <c r="E45" s="19"/>
      <c r="F45" s="19"/>
      <c r="G45" s="19"/>
      <c r="H45" s="19"/>
      <c r="I45" s="41"/>
      <c r="J45" s="19"/>
      <c r="K45" s="19"/>
      <c r="L45" s="19"/>
      <c r="M45" s="19"/>
    </row>
    <row r="46" spans="1:13">
      <c r="A46" s="19"/>
      <c r="B46" s="19"/>
      <c r="C46" s="19"/>
      <c r="D46" s="41"/>
      <c r="E46" s="19"/>
      <c r="F46" s="19"/>
      <c r="G46" s="19"/>
      <c r="H46" s="19"/>
      <c r="I46" s="41"/>
      <c r="J46" s="19"/>
      <c r="K46" s="19"/>
      <c r="L46" s="19"/>
      <c r="M46" s="19"/>
    </row>
    <row r="47" spans="1:13">
      <c r="A47" s="19"/>
      <c r="B47" s="19"/>
      <c r="C47" s="19"/>
      <c r="D47" s="41"/>
      <c r="E47" s="19"/>
      <c r="F47" s="19"/>
      <c r="G47" s="19"/>
      <c r="H47" s="19"/>
      <c r="I47" s="41"/>
      <c r="J47" s="19"/>
      <c r="K47" s="19"/>
      <c r="L47" s="19"/>
      <c r="M47" s="19"/>
    </row>
    <row r="48" spans="1:13">
      <c r="A48" s="19"/>
      <c r="B48" s="19"/>
      <c r="C48" s="19"/>
      <c r="D48" s="41"/>
      <c r="E48" s="19"/>
      <c r="F48" s="19"/>
      <c r="G48" s="19"/>
      <c r="H48" s="19"/>
      <c r="I48" s="41"/>
      <c r="J48" s="19"/>
      <c r="K48" s="19"/>
      <c r="L48" s="19"/>
      <c r="M48" s="19"/>
    </row>
    <row r="49" spans="1:13">
      <c r="A49" s="19"/>
      <c r="B49" s="19"/>
      <c r="C49" s="19"/>
      <c r="D49" s="41"/>
      <c r="E49" s="19"/>
      <c r="F49" s="19"/>
      <c r="G49" s="19"/>
      <c r="H49" s="19"/>
      <c r="I49" s="41"/>
      <c r="J49" s="19"/>
      <c r="K49" s="19"/>
      <c r="L49" s="19"/>
      <c r="M49" s="19"/>
    </row>
    <row r="50" spans="1:13">
      <c r="A50" s="19"/>
      <c r="B50" s="19"/>
      <c r="C50" s="19"/>
      <c r="D50" s="41"/>
      <c r="E50" s="19"/>
      <c r="F50" s="19"/>
      <c r="G50" s="19"/>
      <c r="H50" s="19"/>
      <c r="I50" s="41"/>
      <c r="J50" s="19"/>
      <c r="K50" s="19"/>
      <c r="L50" s="19"/>
      <c r="M50" s="19"/>
    </row>
    <row r="51" spans="1:13">
      <c r="A51" s="19"/>
      <c r="B51" s="19"/>
      <c r="C51" s="19"/>
      <c r="D51" s="41"/>
      <c r="E51" s="19"/>
      <c r="F51" s="19"/>
      <c r="G51" s="19"/>
      <c r="H51" s="19"/>
      <c r="I51" s="41"/>
      <c r="J51" s="19"/>
      <c r="K51" s="19"/>
      <c r="L51" s="19"/>
      <c r="M51" s="19"/>
    </row>
    <row r="52" spans="1:13">
      <c r="A52" s="19"/>
      <c r="B52" s="19"/>
      <c r="C52" s="19"/>
      <c r="D52" s="41"/>
      <c r="E52" s="19"/>
      <c r="F52" s="19"/>
      <c r="G52" s="19"/>
      <c r="H52" s="19"/>
      <c r="I52" s="41"/>
      <c r="J52" s="19"/>
      <c r="K52" s="19"/>
      <c r="L52" s="19"/>
      <c r="M52" s="19"/>
    </row>
    <row r="53" spans="1:13">
      <c r="A53" s="19"/>
      <c r="B53" s="19"/>
      <c r="C53" s="19"/>
      <c r="D53" s="41"/>
      <c r="E53" s="19"/>
      <c r="F53" s="19"/>
      <c r="G53" s="19"/>
      <c r="H53" s="19"/>
      <c r="I53" s="41"/>
      <c r="J53" s="19"/>
      <c r="K53" s="19"/>
      <c r="L53" s="19"/>
      <c r="M53" s="19"/>
    </row>
    <row r="54" spans="1:13">
      <c r="A54" s="19"/>
      <c r="B54" s="19"/>
      <c r="C54" s="19"/>
      <c r="D54" s="41"/>
      <c r="E54" s="19"/>
      <c r="F54" s="19"/>
      <c r="G54" s="19"/>
      <c r="H54" s="19"/>
      <c r="I54" s="41"/>
      <c r="J54" s="19"/>
      <c r="K54" s="19"/>
      <c r="L54" s="19"/>
      <c r="M54" s="19"/>
    </row>
    <row r="55" spans="1:13">
      <c r="A55" s="19"/>
      <c r="B55" s="19"/>
      <c r="C55" s="19"/>
      <c r="D55" s="41"/>
      <c r="E55" s="19"/>
      <c r="F55" s="19"/>
      <c r="G55" s="19"/>
      <c r="H55" s="19"/>
      <c r="I55" s="41"/>
      <c r="J55" s="19"/>
      <c r="K55" s="19"/>
      <c r="L55" s="19"/>
      <c r="M55" s="19"/>
    </row>
    <row r="56" spans="1:13">
      <c r="A56" s="19"/>
      <c r="B56" s="19"/>
      <c r="C56" s="19"/>
      <c r="D56" s="41"/>
      <c r="E56" s="19"/>
      <c r="F56" s="19"/>
      <c r="G56" s="19"/>
      <c r="H56" s="19"/>
      <c r="I56" s="41"/>
      <c r="J56" s="19"/>
      <c r="K56" s="19"/>
      <c r="L56" s="19"/>
      <c r="M56" s="19"/>
    </row>
    <row r="57" spans="1:13">
      <c r="A57" s="19"/>
      <c r="B57" s="19"/>
      <c r="C57" s="19"/>
      <c r="D57" s="41"/>
      <c r="E57" s="19"/>
      <c r="F57" s="19"/>
      <c r="G57" s="19"/>
      <c r="H57" s="19"/>
      <c r="I57" s="41"/>
      <c r="J57" s="19"/>
      <c r="K57" s="19"/>
      <c r="L57" s="19"/>
      <c r="M57" s="19"/>
    </row>
    <row r="58" spans="1:13">
      <c r="A58" s="19"/>
      <c r="B58" s="19"/>
      <c r="C58" s="19"/>
      <c r="D58" s="41"/>
      <c r="E58" s="19"/>
      <c r="F58" s="19"/>
      <c r="G58" s="19"/>
      <c r="H58" s="19"/>
      <c r="I58" s="41"/>
      <c r="J58" s="19"/>
      <c r="K58" s="19"/>
      <c r="L58" s="19"/>
      <c r="M58" s="19"/>
    </row>
    <row r="59" spans="1:13">
      <c r="A59" s="19"/>
      <c r="B59" s="19"/>
      <c r="C59" s="19"/>
      <c r="D59" s="41"/>
      <c r="E59" s="19"/>
      <c r="F59" s="19"/>
      <c r="G59" s="19"/>
      <c r="H59" s="19"/>
      <c r="I59" s="41"/>
      <c r="J59" s="19"/>
      <c r="K59" s="19"/>
      <c r="L59" s="19"/>
      <c r="M59" s="19"/>
    </row>
    <row r="60" spans="1:13">
      <c r="A60" s="19"/>
      <c r="B60" s="19"/>
      <c r="C60" s="19"/>
      <c r="D60" s="41"/>
      <c r="E60" s="19"/>
      <c r="F60" s="19"/>
      <c r="G60" s="19"/>
      <c r="H60" s="19"/>
      <c r="I60" s="41"/>
      <c r="J60" s="19"/>
      <c r="K60" s="19"/>
      <c r="L60" s="19"/>
      <c r="M60" s="19"/>
    </row>
    <row r="61" spans="1:13">
      <c r="A61" s="19"/>
      <c r="B61" s="19"/>
      <c r="C61" s="19"/>
      <c r="D61" s="41"/>
      <c r="E61" s="19"/>
      <c r="F61" s="19"/>
      <c r="G61" s="19"/>
      <c r="H61" s="19"/>
      <c r="I61" s="41"/>
      <c r="J61" s="19"/>
      <c r="K61" s="19"/>
      <c r="L61" s="19"/>
      <c r="M61" s="19"/>
    </row>
    <row r="62" spans="1:13">
      <c r="A62" s="19"/>
      <c r="B62" s="19"/>
      <c r="C62" s="19"/>
      <c r="D62" s="41"/>
      <c r="E62" s="19"/>
      <c r="F62" s="19"/>
      <c r="G62" s="19"/>
      <c r="H62" s="19"/>
      <c r="I62" s="41"/>
      <c r="J62" s="19"/>
      <c r="K62" s="19"/>
      <c r="L62" s="19"/>
      <c r="M62" s="19"/>
    </row>
    <row r="63" spans="1:13">
      <c r="A63" s="19"/>
      <c r="B63" s="19"/>
      <c r="C63" s="19"/>
      <c r="D63" s="41"/>
      <c r="E63" s="19"/>
      <c r="F63" s="19"/>
      <c r="G63" s="19"/>
      <c r="H63" s="19"/>
      <c r="I63" s="41"/>
      <c r="J63" s="19"/>
      <c r="K63" s="19"/>
      <c r="L63" s="19"/>
      <c r="M63" s="19"/>
    </row>
    <row r="64" spans="1:13">
      <c r="A64" s="19"/>
      <c r="B64" s="19"/>
      <c r="C64" s="19"/>
      <c r="D64" s="41"/>
      <c r="E64" s="19"/>
      <c r="F64" s="19"/>
      <c r="G64" s="19"/>
      <c r="H64" s="19"/>
      <c r="I64" s="41"/>
      <c r="J64" s="19"/>
      <c r="K64" s="19"/>
      <c r="L64" s="19"/>
      <c r="M64" s="19"/>
    </row>
    <row r="65" spans="1:13">
      <c r="A65" s="19"/>
      <c r="B65" s="19"/>
      <c r="C65" s="19"/>
      <c r="D65" s="41"/>
      <c r="E65" s="19"/>
      <c r="F65" s="19"/>
      <c r="G65" s="19"/>
      <c r="H65" s="19"/>
      <c r="I65" s="41"/>
      <c r="J65" s="19"/>
      <c r="K65" s="19"/>
      <c r="L65" s="19"/>
      <c r="M65" s="19"/>
    </row>
    <row r="66" spans="1:13">
      <c r="A66" s="19"/>
      <c r="B66" s="19"/>
      <c r="C66" s="19"/>
      <c r="D66" s="41"/>
      <c r="E66" s="19"/>
      <c r="F66" s="19"/>
      <c r="G66" s="19"/>
      <c r="H66" s="19"/>
      <c r="I66" s="41"/>
      <c r="J66" s="19"/>
      <c r="K66" s="19"/>
      <c r="L66" s="19"/>
      <c r="M66" s="19"/>
    </row>
    <row r="67" spans="1:13">
      <c r="A67" s="19"/>
      <c r="B67" s="19"/>
      <c r="C67" s="19"/>
      <c r="D67" s="41"/>
      <c r="E67" s="19"/>
      <c r="F67" s="19"/>
      <c r="G67" s="19"/>
      <c r="H67" s="19"/>
      <c r="I67" s="41"/>
      <c r="J67" s="19"/>
      <c r="K67" s="19"/>
      <c r="L67" s="19"/>
      <c r="M67" s="19"/>
    </row>
    <row r="68" spans="1:13">
      <c r="A68" s="19"/>
      <c r="B68" s="19"/>
      <c r="C68" s="19"/>
      <c r="D68" s="41"/>
      <c r="E68" s="19"/>
      <c r="F68" s="19"/>
      <c r="G68" s="19"/>
      <c r="H68" s="19"/>
      <c r="I68" s="41"/>
      <c r="J68" s="19"/>
      <c r="K68" s="19"/>
      <c r="L68" s="19"/>
      <c r="M68" s="19"/>
    </row>
    <row r="69" spans="1:13">
      <c r="A69" s="19"/>
      <c r="B69" s="19"/>
      <c r="C69" s="19"/>
      <c r="D69" s="41"/>
      <c r="E69" s="19"/>
      <c r="F69" s="19"/>
      <c r="G69" s="19"/>
      <c r="H69" s="19"/>
      <c r="I69" s="41"/>
      <c r="J69" s="19"/>
      <c r="K69" s="19"/>
      <c r="L69" s="19"/>
      <c r="M69" s="19"/>
    </row>
    <row r="70" spans="1:13">
      <c r="A70" s="19"/>
      <c r="B70" s="19"/>
      <c r="C70" s="19"/>
      <c r="D70" s="41"/>
      <c r="E70" s="19"/>
      <c r="F70" s="19"/>
      <c r="G70" s="19"/>
      <c r="H70" s="19"/>
      <c r="I70" s="41"/>
      <c r="J70" s="19"/>
      <c r="K70" s="19"/>
      <c r="L70" s="19"/>
      <c r="M70" s="19"/>
    </row>
    <row r="71" spans="1:13">
      <c r="A71" s="19"/>
      <c r="B71" s="19"/>
      <c r="C71" s="19"/>
      <c r="D71" s="41"/>
      <c r="E71" s="19"/>
      <c r="F71" s="19"/>
      <c r="G71" s="19"/>
      <c r="H71" s="19"/>
      <c r="I71" s="41"/>
      <c r="J71" s="19"/>
      <c r="K71" s="19"/>
      <c r="L71" s="19"/>
      <c r="M71" s="19"/>
    </row>
    <row r="72" spans="1:13">
      <c r="A72" s="19"/>
      <c r="B72" s="19"/>
      <c r="C72" s="19"/>
      <c r="D72" s="41"/>
      <c r="E72" s="19"/>
      <c r="F72" s="19"/>
      <c r="G72" s="19"/>
      <c r="H72" s="19"/>
      <c r="I72" s="41"/>
      <c r="J72" s="19"/>
      <c r="K72" s="19"/>
      <c r="L72" s="19"/>
      <c r="M72" s="19"/>
    </row>
    <row r="73" spans="1:13">
      <c r="A73" s="19"/>
      <c r="B73" s="19"/>
      <c r="C73" s="19"/>
      <c r="D73" s="41"/>
      <c r="E73" s="19"/>
      <c r="F73" s="19"/>
      <c r="G73" s="19"/>
      <c r="H73" s="19"/>
      <c r="I73" s="41"/>
      <c r="J73" s="19"/>
      <c r="K73" s="19"/>
      <c r="L73" s="19"/>
      <c r="M73" s="19"/>
    </row>
    <row r="74" spans="1:13">
      <c r="A74" s="19"/>
      <c r="B74" s="19"/>
      <c r="C74" s="19"/>
      <c r="D74" s="41"/>
      <c r="E74" s="19"/>
      <c r="F74" s="19"/>
      <c r="G74" s="19"/>
      <c r="H74" s="19"/>
      <c r="I74" s="41"/>
      <c r="J74" s="19"/>
      <c r="K74" s="19"/>
      <c r="L74" s="19"/>
      <c r="M74" s="19"/>
    </row>
    <row r="75" spans="1:13">
      <c r="A75" s="19"/>
      <c r="B75" s="19"/>
      <c r="C75" s="19"/>
      <c r="D75" s="41"/>
      <c r="E75" s="19"/>
      <c r="F75" s="19"/>
      <c r="G75" s="19"/>
      <c r="H75" s="19"/>
      <c r="I75" s="41"/>
      <c r="J75" s="19"/>
      <c r="K75" s="19"/>
      <c r="L75" s="19"/>
      <c r="M75" s="19"/>
    </row>
    <row r="76" spans="1:13">
      <c r="A76" s="19"/>
      <c r="B76" s="19"/>
      <c r="C76" s="19"/>
      <c r="D76" s="41"/>
      <c r="E76" s="19"/>
      <c r="F76" s="19"/>
      <c r="G76" s="19"/>
      <c r="H76" s="19"/>
      <c r="I76" s="41"/>
      <c r="J76" s="19"/>
      <c r="K76" s="19"/>
      <c r="L76" s="19"/>
      <c r="M76" s="19"/>
    </row>
    <row r="77" spans="1:13">
      <c r="A77" s="19"/>
      <c r="B77" s="19"/>
      <c r="C77" s="19"/>
      <c r="D77" s="41"/>
      <c r="E77" s="19"/>
      <c r="F77" s="19"/>
      <c r="G77" s="19"/>
      <c r="H77" s="19"/>
      <c r="I77" s="41"/>
      <c r="J77" s="19"/>
      <c r="K77" s="19"/>
      <c r="L77" s="19"/>
      <c r="M77" s="19"/>
    </row>
    <row r="78" spans="1:13">
      <c r="A78" s="19"/>
      <c r="B78" s="19"/>
      <c r="C78" s="19"/>
      <c r="D78" s="41"/>
      <c r="E78" s="19"/>
      <c r="F78" s="19"/>
      <c r="G78" s="19"/>
      <c r="H78" s="19"/>
      <c r="I78" s="41"/>
      <c r="J78" s="19"/>
      <c r="K78" s="19"/>
      <c r="L78" s="19"/>
      <c r="M78" s="19"/>
    </row>
    <row r="79" spans="1:13">
      <c r="A79" s="19"/>
      <c r="B79" s="19"/>
      <c r="C79" s="19"/>
      <c r="D79" s="41"/>
      <c r="E79" s="19"/>
      <c r="F79" s="19"/>
      <c r="G79" s="19"/>
      <c r="H79" s="19"/>
      <c r="I79" s="41"/>
      <c r="J79" s="19"/>
      <c r="K79" s="19"/>
      <c r="L79" s="19"/>
      <c r="M79" s="19"/>
    </row>
    <row r="80" spans="1:13">
      <c r="A80" s="19"/>
      <c r="B80" s="19"/>
      <c r="C80" s="19"/>
      <c r="D80" s="41"/>
      <c r="E80" s="19"/>
      <c r="F80" s="19"/>
      <c r="G80" s="19"/>
      <c r="H80" s="19"/>
      <c r="I80" s="41"/>
      <c r="J80" s="19"/>
      <c r="K80" s="19"/>
      <c r="L80" s="19"/>
      <c r="M80" s="19"/>
    </row>
    <row r="81" spans="1:13">
      <c r="A81" s="19"/>
      <c r="B81" s="19"/>
      <c r="C81" s="19"/>
      <c r="D81" s="41"/>
      <c r="E81" s="19"/>
      <c r="F81" s="19"/>
      <c r="G81" s="19"/>
      <c r="H81" s="19"/>
      <c r="I81" s="41"/>
      <c r="J81" s="19"/>
      <c r="K81" s="19"/>
      <c r="L81" s="19"/>
      <c r="M81" s="19"/>
    </row>
    <row r="82" spans="1:13">
      <c r="A82" s="19"/>
      <c r="B82" s="19"/>
      <c r="C82" s="19"/>
      <c r="D82" s="41"/>
      <c r="E82" s="19"/>
      <c r="F82" s="19"/>
      <c r="G82" s="19"/>
      <c r="H82" s="19"/>
      <c r="I82" s="41"/>
      <c r="J82" s="19"/>
      <c r="K82" s="19"/>
      <c r="L82" s="19"/>
      <c r="M82" s="19"/>
    </row>
    <row r="83" spans="1:13">
      <c r="A83" s="19"/>
      <c r="B83" s="19"/>
      <c r="C83" s="19"/>
      <c r="D83" s="41"/>
      <c r="E83" s="19"/>
      <c r="F83" s="19"/>
      <c r="G83" s="19"/>
      <c r="H83" s="19"/>
      <c r="I83" s="41"/>
      <c r="J83" s="19"/>
      <c r="K83" s="19"/>
      <c r="L83" s="19"/>
      <c r="M83" s="19"/>
    </row>
    <row r="84" spans="1:13">
      <c r="A84" s="19"/>
      <c r="B84" s="19"/>
      <c r="C84" s="19"/>
      <c r="D84" s="41"/>
      <c r="E84" s="19"/>
      <c r="F84" s="19"/>
      <c r="G84" s="19"/>
      <c r="H84" s="19"/>
      <c r="I84" s="41"/>
      <c r="J84" s="19"/>
      <c r="K84" s="19"/>
      <c r="L84" s="19"/>
      <c r="M84" s="19"/>
    </row>
    <row r="85" spans="1:13">
      <c r="A85" s="19"/>
      <c r="B85" s="19"/>
      <c r="C85" s="19"/>
      <c r="D85" s="41"/>
      <c r="E85" s="19"/>
      <c r="F85" s="19"/>
      <c r="G85" s="19"/>
      <c r="H85" s="19"/>
      <c r="I85" s="41"/>
      <c r="J85" s="19"/>
      <c r="K85" s="19"/>
      <c r="L85" s="19"/>
      <c r="M85" s="19"/>
    </row>
    <row r="86" spans="1:13">
      <c r="A86" s="19"/>
      <c r="B86" s="19"/>
      <c r="C86" s="19"/>
      <c r="D86" s="41"/>
      <c r="E86" s="19"/>
      <c r="F86" s="19"/>
      <c r="G86" s="19"/>
      <c r="H86" s="19"/>
      <c r="I86" s="41"/>
      <c r="J86" s="19"/>
      <c r="K86" s="19"/>
      <c r="L86" s="19"/>
      <c r="M86" s="19"/>
    </row>
    <row r="87" spans="1:13">
      <c r="A87" s="19"/>
      <c r="B87" s="19"/>
      <c r="C87" s="19"/>
      <c r="D87" s="41"/>
      <c r="E87" s="19"/>
      <c r="F87" s="19"/>
      <c r="G87" s="19"/>
      <c r="H87" s="19"/>
      <c r="I87" s="41"/>
      <c r="J87" s="19"/>
      <c r="K87" s="19"/>
      <c r="L87" s="19"/>
      <c r="M87" s="19"/>
    </row>
    <row r="88" spans="1:13">
      <c r="A88" s="19"/>
      <c r="B88" s="19"/>
      <c r="C88" s="19"/>
      <c r="D88" s="41"/>
      <c r="E88" s="19"/>
      <c r="F88" s="19"/>
      <c r="G88" s="19"/>
      <c r="H88" s="19"/>
      <c r="I88" s="41"/>
      <c r="J88" s="19"/>
      <c r="K88" s="19"/>
      <c r="L88" s="19"/>
      <c r="M88" s="19"/>
    </row>
    <row r="89" spans="1:13">
      <c r="A89" s="19"/>
      <c r="B89" s="19"/>
      <c r="C89" s="19"/>
      <c r="D89" s="41"/>
      <c r="E89" s="19"/>
      <c r="F89" s="19"/>
      <c r="G89" s="19"/>
      <c r="H89" s="19"/>
      <c r="I89" s="41"/>
      <c r="J89" s="19"/>
      <c r="K89" s="19"/>
      <c r="L89" s="19"/>
      <c r="M89" s="19"/>
    </row>
    <row r="90" spans="1:13">
      <c r="A90" s="19"/>
      <c r="B90" s="19"/>
      <c r="C90" s="19"/>
      <c r="D90" s="41"/>
      <c r="E90" s="19"/>
      <c r="F90" s="19"/>
      <c r="G90" s="19"/>
      <c r="H90" s="19"/>
      <c r="I90" s="41"/>
      <c r="J90" s="19"/>
      <c r="K90" s="19"/>
      <c r="L90" s="19"/>
      <c r="M90" s="19"/>
    </row>
    <row r="91" spans="1:13">
      <c r="A91" s="19"/>
      <c r="B91" s="19"/>
      <c r="C91" s="19"/>
      <c r="D91" s="41"/>
      <c r="E91" s="19"/>
      <c r="F91" s="19"/>
      <c r="G91" s="19"/>
      <c r="H91" s="19"/>
      <c r="I91" s="41"/>
      <c r="J91" s="19"/>
      <c r="K91" s="19"/>
      <c r="L91" s="19"/>
      <c r="M91" s="19"/>
    </row>
    <row r="92" spans="1:13">
      <c r="A92" s="19"/>
      <c r="B92" s="19"/>
      <c r="C92" s="19"/>
      <c r="D92" s="41"/>
      <c r="E92" s="19"/>
      <c r="F92" s="19"/>
      <c r="G92" s="19"/>
      <c r="H92" s="19"/>
      <c r="I92" s="41"/>
      <c r="J92" s="19"/>
      <c r="K92" s="19"/>
      <c r="L92" s="19"/>
      <c r="M92" s="19"/>
    </row>
    <row r="93" spans="1:13">
      <c r="A93" s="19"/>
      <c r="B93" s="19"/>
      <c r="C93" s="19"/>
      <c r="D93" s="41"/>
      <c r="E93" s="19"/>
      <c r="F93" s="19"/>
      <c r="G93" s="19"/>
      <c r="H93" s="19"/>
      <c r="I93" s="41"/>
      <c r="J93" s="19"/>
      <c r="K93" s="19"/>
      <c r="L93" s="19"/>
      <c r="M93" s="19"/>
    </row>
    <row r="94" spans="1:13">
      <c r="A94" s="19"/>
      <c r="B94" s="19"/>
      <c r="C94" s="19"/>
      <c r="D94" s="41"/>
      <c r="E94" s="19"/>
      <c r="F94" s="19"/>
      <c r="G94" s="19"/>
      <c r="H94" s="19"/>
      <c r="I94" s="41"/>
      <c r="J94" s="19"/>
      <c r="K94" s="19"/>
      <c r="L94" s="19"/>
      <c r="M94" s="19"/>
    </row>
    <row r="95" spans="1:13">
      <c r="A95" s="19"/>
      <c r="B95" s="19"/>
      <c r="C95" s="19"/>
      <c r="D95" s="41"/>
      <c r="E95" s="19"/>
      <c r="F95" s="19"/>
      <c r="G95" s="19"/>
      <c r="H95" s="19"/>
      <c r="I95" s="41"/>
      <c r="J95" s="19"/>
      <c r="K95" s="19"/>
      <c r="L95" s="19"/>
      <c r="M95" s="19"/>
    </row>
    <row r="96" spans="1:13">
      <c r="A96" s="19"/>
      <c r="B96" s="19"/>
      <c r="C96" s="19"/>
      <c r="D96" s="41"/>
      <c r="E96" s="19"/>
      <c r="F96" s="19"/>
      <c r="G96" s="19"/>
      <c r="H96" s="19"/>
      <c r="I96" s="41"/>
      <c r="J96" s="19"/>
      <c r="K96" s="19"/>
      <c r="L96" s="19"/>
      <c r="M96" s="19"/>
    </row>
    <row r="97" spans="1:13">
      <c r="A97" s="19"/>
      <c r="B97" s="19"/>
      <c r="C97" s="19"/>
      <c r="D97" s="41"/>
      <c r="E97" s="19"/>
      <c r="F97" s="19"/>
      <c r="G97" s="19"/>
      <c r="H97" s="19"/>
      <c r="I97" s="41"/>
      <c r="J97" s="19"/>
      <c r="K97" s="19"/>
      <c r="L97" s="19"/>
      <c r="M97" s="19"/>
    </row>
    <row r="98" spans="1:13">
      <c r="A98" s="19"/>
      <c r="B98" s="19"/>
      <c r="C98" s="19"/>
      <c r="D98" s="41"/>
      <c r="E98" s="19"/>
      <c r="F98" s="19"/>
      <c r="G98" s="19"/>
      <c r="H98" s="19"/>
      <c r="I98" s="41"/>
      <c r="J98" s="19"/>
      <c r="K98" s="19"/>
      <c r="L98" s="19"/>
      <c r="M98" s="19"/>
    </row>
    <row r="99" spans="1:13">
      <c r="A99" s="19"/>
      <c r="B99" s="19"/>
      <c r="C99" s="19"/>
      <c r="D99" s="41"/>
      <c r="E99" s="19"/>
      <c r="F99" s="19"/>
      <c r="G99" s="19"/>
      <c r="H99" s="19"/>
      <c r="I99" s="41"/>
      <c r="J99" s="19"/>
      <c r="K99" s="19"/>
      <c r="L99" s="19"/>
      <c r="M99" s="19"/>
    </row>
    <row r="100" spans="1:13">
      <c r="A100" s="19"/>
      <c r="B100" s="19"/>
      <c r="C100" s="19"/>
      <c r="D100" s="41"/>
      <c r="E100" s="19"/>
      <c r="F100" s="19"/>
      <c r="G100" s="19"/>
      <c r="H100" s="19"/>
      <c r="I100" s="41"/>
      <c r="J100" s="19"/>
      <c r="K100" s="19"/>
      <c r="L100" s="19"/>
      <c r="M100" s="19"/>
    </row>
    <row r="101" spans="1:13">
      <c r="A101" s="19"/>
      <c r="B101" s="19"/>
      <c r="C101" s="19"/>
      <c r="D101" s="41"/>
      <c r="E101" s="19"/>
      <c r="F101" s="19"/>
      <c r="G101" s="19"/>
      <c r="H101" s="19"/>
      <c r="I101" s="41"/>
      <c r="J101" s="19"/>
      <c r="K101" s="19"/>
      <c r="L101" s="19"/>
      <c r="M101" s="19"/>
    </row>
    <row r="102" spans="1:13">
      <c r="A102" s="19"/>
      <c r="B102" s="19"/>
      <c r="C102" s="19"/>
      <c r="D102" s="41"/>
      <c r="E102" s="19"/>
      <c r="F102" s="19"/>
      <c r="G102" s="19"/>
      <c r="H102" s="19"/>
      <c r="I102" s="41"/>
      <c r="J102" s="19"/>
      <c r="K102" s="19"/>
      <c r="L102" s="19"/>
      <c r="M102" s="19"/>
    </row>
    <row r="103" spans="1:13">
      <c r="A103" s="19"/>
      <c r="B103" s="19"/>
      <c r="C103" s="19"/>
      <c r="D103" s="41"/>
      <c r="E103" s="19"/>
      <c r="F103" s="19"/>
      <c r="G103" s="19"/>
      <c r="H103" s="19"/>
      <c r="I103" s="41"/>
      <c r="J103" s="19"/>
      <c r="K103" s="19"/>
      <c r="L103" s="19"/>
      <c r="M103" s="19"/>
    </row>
    <row r="104" spans="1:13">
      <c r="A104" s="19"/>
      <c r="B104" s="19"/>
      <c r="C104" s="19"/>
      <c r="D104" s="41"/>
      <c r="E104" s="19"/>
      <c r="F104" s="19"/>
      <c r="G104" s="19"/>
      <c r="H104" s="19"/>
      <c r="I104" s="41"/>
      <c r="J104" s="19"/>
      <c r="K104" s="19"/>
      <c r="L104" s="19"/>
      <c r="M104" s="19"/>
    </row>
    <row r="105" spans="1:13">
      <c r="A105" s="19"/>
      <c r="B105" s="19"/>
      <c r="C105" s="19"/>
      <c r="D105" s="41"/>
      <c r="E105" s="19"/>
      <c r="F105" s="19"/>
      <c r="G105" s="19"/>
      <c r="H105" s="19"/>
      <c r="I105" s="41"/>
      <c r="J105" s="19"/>
      <c r="K105" s="19"/>
      <c r="L105" s="19"/>
      <c r="M105" s="19"/>
    </row>
    <row r="106" spans="1:13">
      <c r="A106" s="19"/>
      <c r="B106" s="19"/>
      <c r="C106" s="19"/>
      <c r="D106" s="41"/>
      <c r="E106" s="19"/>
      <c r="F106" s="19"/>
      <c r="G106" s="19"/>
      <c r="H106" s="19"/>
      <c r="I106" s="41"/>
      <c r="J106" s="19"/>
      <c r="K106" s="19"/>
      <c r="L106" s="19"/>
      <c r="M106" s="19"/>
    </row>
    <row r="107" spans="1:13">
      <c r="A107" s="19"/>
      <c r="B107" s="19"/>
      <c r="C107" s="19"/>
      <c r="D107" s="41"/>
      <c r="E107" s="19"/>
      <c r="F107" s="19"/>
      <c r="G107" s="19"/>
      <c r="H107" s="19"/>
      <c r="I107" s="41"/>
      <c r="J107" s="19"/>
      <c r="K107" s="19"/>
      <c r="L107" s="19"/>
      <c r="M107" s="19"/>
    </row>
    <row r="108" spans="1:13">
      <c r="A108" s="19"/>
      <c r="B108" s="19"/>
      <c r="C108" s="19"/>
      <c r="D108" s="41"/>
      <c r="E108" s="19"/>
      <c r="F108" s="19"/>
      <c r="G108" s="19"/>
      <c r="H108" s="19"/>
      <c r="I108" s="41"/>
      <c r="J108" s="19"/>
      <c r="K108" s="19"/>
      <c r="L108" s="19"/>
      <c r="M108" s="19"/>
    </row>
    <row r="109" spans="1:13">
      <c r="A109" s="19"/>
      <c r="B109" s="19"/>
      <c r="C109" s="19"/>
      <c r="D109" s="41"/>
      <c r="E109" s="19"/>
      <c r="F109" s="19"/>
      <c r="G109" s="19"/>
      <c r="H109" s="19"/>
      <c r="I109" s="41"/>
      <c r="J109" s="19"/>
      <c r="K109" s="19"/>
      <c r="L109" s="19"/>
      <c r="M109" s="19"/>
    </row>
    <row r="110" spans="1:13">
      <c r="A110" s="19"/>
      <c r="B110" s="19"/>
      <c r="C110" s="19"/>
      <c r="D110" s="41"/>
      <c r="E110" s="19"/>
      <c r="F110" s="19"/>
      <c r="G110" s="19"/>
      <c r="H110" s="19"/>
      <c r="I110" s="41"/>
      <c r="J110" s="19"/>
      <c r="K110" s="19"/>
      <c r="L110" s="19"/>
      <c r="M110" s="19"/>
    </row>
    <row r="111" spans="1:13">
      <c r="A111" s="19"/>
      <c r="B111" s="19"/>
      <c r="C111" s="19"/>
      <c r="D111" s="41"/>
      <c r="E111" s="19"/>
      <c r="F111" s="19"/>
      <c r="G111" s="19"/>
      <c r="H111" s="19"/>
      <c r="I111" s="41"/>
      <c r="J111" s="19"/>
      <c r="K111" s="19"/>
      <c r="L111" s="19"/>
      <c r="M111" s="19"/>
    </row>
    <row r="112" spans="1:13">
      <c r="A112" s="19"/>
      <c r="B112" s="19"/>
      <c r="C112" s="19"/>
      <c r="D112" s="41"/>
      <c r="E112" s="19"/>
      <c r="F112" s="19"/>
      <c r="G112" s="19"/>
      <c r="H112" s="19"/>
      <c r="I112" s="41"/>
      <c r="J112" s="19"/>
      <c r="K112" s="19"/>
      <c r="L112" s="19"/>
      <c r="M112" s="19"/>
    </row>
    <row r="113" spans="1:13">
      <c r="A113" s="19"/>
      <c r="B113" s="19"/>
      <c r="C113" s="19"/>
      <c r="D113" s="41"/>
      <c r="E113" s="19"/>
      <c r="F113" s="19"/>
      <c r="G113" s="19"/>
      <c r="H113" s="19"/>
      <c r="I113" s="41"/>
      <c r="J113" s="19"/>
      <c r="K113" s="19"/>
      <c r="L113" s="19"/>
      <c r="M113" s="19"/>
    </row>
    <row r="114" spans="1:13">
      <c r="A114" s="19"/>
      <c r="B114" s="19"/>
      <c r="C114" s="19"/>
      <c r="D114" s="41"/>
      <c r="E114" s="19"/>
      <c r="F114" s="19"/>
      <c r="G114" s="19"/>
      <c r="H114" s="19"/>
      <c r="I114" s="41"/>
      <c r="J114" s="19"/>
      <c r="K114" s="19"/>
      <c r="L114" s="19"/>
      <c r="M114" s="19"/>
    </row>
    <row r="115" spans="1:13">
      <c r="A115" s="19"/>
      <c r="B115" s="19"/>
      <c r="C115" s="19"/>
      <c r="D115" s="41"/>
      <c r="E115" s="19"/>
      <c r="F115" s="19"/>
      <c r="G115" s="19"/>
      <c r="H115" s="19"/>
      <c r="I115" s="41"/>
      <c r="J115" s="19"/>
      <c r="K115" s="19"/>
      <c r="L115" s="19"/>
      <c r="M115" s="19"/>
    </row>
    <row r="116" spans="1:13">
      <c r="A116" s="19"/>
      <c r="B116" s="19"/>
      <c r="C116" s="19"/>
      <c r="D116" s="41"/>
      <c r="E116" s="19"/>
      <c r="F116" s="19"/>
      <c r="G116" s="19"/>
      <c r="H116" s="19"/>
      <c r="I116" s="41"/>
      <c r="J116" s="19"/>
      <c r="K116" s="19"/>
      <c r="L116" s="19"/>
      <c r="M116" s="19"/>
    </row>
    <row r="117" spans="1:13">
      <c r="A117" s="19"/>
      <c r="B117" s="19"/>
      <c r="C117" s="19"/>
      <c r="D117" s="41"/>
      <c r="E117" s="19"/>
      <c r="F117" s="19"/>
      <c r="G117" s="19"/>
      <c r="H117" s="19"/>
      <c r="I117" s="41"/>
      <c r="J117" s="19"/>
      <c r="K117" s="19"/>
      <c r="L117" s="19"/>
      <c r="M117" s="19"/>
    </row>
    <row r="118" spans="1:13">
      <c r="A118" s="19"/>
      <c r="B118" s="19"/>
      <c r="C118" s="19"/>
      <c r="D118" s="41"/>
      <c r="E118" s="19"/>
      <c r="F118" s="19"/>
      <c r="G118" s="19"/>
      <c r="H118" s="19"/>
      <c r="I118" s="41"/>
      <c r="J118" s="19"/>
      <c r="K118" s="19"/>
      <c r="L118" s="19"/>
      <c r="M118" s="19"/>
    </row>
    <row r="119" spans="1:13">
      <c r="A119" s="19"/>
      <c r="B119" s="19"/>
      <c r="C119" s="19"/>
      <c r="D119" s="41"/>
      <c r="E119" s="19"/>
      <c r="F119" s="19"/>
      <c r="G119" s="19"/>
      <c r="H119" s="19"/>
      <c r="I119" s="41"/>
      <c r="J119" s="19"/>
      <c r="K119" s="19"/>
      <c r="L119" s="19"/>
      <c r="M119" s="19"/>
    </row>
    <row r="120" spans="1:13">
      <c r="A120" s="19"/>
      <c r="B120" s="19"/>
      <c r="C120" s="19"/>
      <c r="D120" s="41"/>
      <c r="E120" s="19"/>
      <c r="F120" s="19"/>
      <c r="G120" s="19"/>
      <c r="H120" s="19"/>
      <c r="I120" s="41"/>
      <c r="J120" s="19"/>
      <c r="K120" s="19"/>
      <c r="L120" s="19"/>
      <c r="M120" s="19"/>
    </row>
    <row r="121" spans="1:13">
      <c r="A121" s="19"/>
      <c r="B121" s="19"/>
      <c r="C121" s="19"/>
      <c r="D121" s="41"/>
      <c r="E121" s="19"/>
      <c r="F121" s="19"/>
      <c r="G121" s="19"/>
      <c r="H121" s="19"/>
      <c r="I121" s="41"/>
      <c r="J121" s="19"/>
      <c r="K121" s="19"/>
      <c r="L121" s="19"/>
      <c r="M121" s="19"/>
    </row>
    <row r="122" spans="1:13">
      <c r="A122" s="19"/>
      <c r="B122" s="19"/>
      <c r="C122" s="19"/>
      <c r="D122" s="41"/>
      <c r="E122" s="19"/>
      <c r="F122" s="19"/>
      <c r="G122" s="19"/>
      <c r="H122" s="19"/>
      <c r="I122" s="41"/>
      <c r="J122" s="19"/>
      <c r="K122" s="19"/>
      <c r="L122" s="19"/>
      <c r="M122" s="19"/>
    </row>
    <row r="123" spans="1:13">
      <c r="A123" s="19"/>
      <c r="B123" s="19"/>
      <c r="C123" s="19"/>
      <c r="D123" s="41"/>
      <c r="E123" s="19"/>
      <c r="F123" s="19"/>
      <c r="G123" s="19"/>
      <c r="H123" s="19"/>
      <c r="I123" s="41"/>
      <c r="J123" s="19"/>
      <c r="K123" s="19"/>
      <c r="L123" s="19"/>
      <c r="M123" s="19"/>
    </row>
    <row r="124" spans="1:13">
      <c r="A124" s="19"/>
      <c r="B124" s="19"/>
      <c r="C124" s="19"/>
      <c r="D124" s="41"/>
      <c r="E124" s="19"/>
      <c r="F124" s="19"/>
      <c r="G124" s="19"/>
      <c r="H124" s="19"/>
      <c r="I124" s="41"/>
      <c r="J124" s="19"/>
      <c r="K124" s="19"/>
      <c r="L124" s="19"/>
      <c r="M124" s="19"/>
    </row>
    <row r="125" spans="1:13">
      <c r="A125" s="19"/>
      <c r="B125" s="19"/>
      <c r="C125" s="19"/>
      <c r="D125" s="41"/>
      <c r="E125" s="19"/>
      <c r="F125" s="19"/>
      <c r="G125" s="19"/>
      <c r="H125" s="19"/>
      <c r="I125" s="41"/>
      <c r="J125" s="19"/>
      <c r="K125" s="19"/>
      <c r="L125" s="19"/>
      <c r="M125" s="19"/>
    </row>
    <row r="126" spans="1:13">
      <c r="A126" s="19"/>
      <c r="B126" s="19"/>
      <c r="C126" s="19"/>
      <c r="D126" s="41"/>
      <c r="E126" s="19"/>
      <c r="F126" s="19"/>
      <c r="G126" s="19"/>
      <c r="H126" s="19"/>
      <c r="I126" s="41"/>
      <c r="J126" s="19"/>
      <c r="K126" s="19"/>
      <c r="L126" s="19"/>
      <c r="M126" s="19"/>
    </row>
    <row r="127" spans="1:13">
      <c r="A127" s="19"/>
      <c r="B127" s="19"/>
      <c r="C127" s="19"/>
      <c r="D127" s="41"/>
      <c r="E127" s="19"/>
      <c r="F127" s="19"/>
      <c r="G127" s="19"/>
      <c r="H127" s="19"/>
      <c r="I127" s="41"/>
      <c r="J127" s="19"/>
      <c r="K127" s="19"/>
      <c r="L127" s="19"/>
      <c r="M127" s="19"/>
    </row>
    <row r="128" spans="1:13">
      <c r="A128" s="19"/>
      <c r="B128" s="19"/>
      <c r="C128" s="19"/>
      <c r="D128" s="41"/>
      <c r="E128" s="19"/>
      <c r="F128" s="19"/>
      <c r="G128" s="19"/>
      <c r="H128" s="19"/>
      <c r="I128" s="41"/>
      <c r="J128" s="19"/>
      <c r="K128" s="19"/>
      <c r="L128" s="19"/>
      <c r="M128" s="19"/>
    </row>
    <row r="129" spans="1:13">
      <c r="A129" s="19"/>
      <c r="B129" s="19"/>
      <c r="C129" s="19"/>
      <c r="D129" s="41"/>
      <c r="E129" s="19"/>
      <c r="F129" s="19"/>
      <c r="G129" s="19"/>
      <c r="H129" s="19"/>
      <c r="I129" s="41"/>
      <c r="J129" s="19"/>
      <c r="K129" s="19"/>
      <c r="L129" s="19"/>
      <c r="M129" s="19"/>
    </row>
    <row r="130" spans="1:13">
      <c r="A130" s="19"/>
      <c r="B130" s="19"/>
      <c r="C130" s="19"/>
      <c r="D130" s="41"/>
      <c r="E130" s="19"/>
      <c r="F130" s="19"/>
      <c r="G130" s="19"/>
      <c r="H130" s="19"/>
      <c r="I130" s="41"/>
      <c r="J130" s="19"/>
      <c r="K130" s="19"/>
      <c r="L130" s="19"/>
      <c r="M130" s="19"/>
    </row>
    <row r="131" spans="1:13">
      <c r="A131" s="19"/>
      <c r="B131" s="19"/>
      <c r="C131" s="19"/>
      <c r="D131" s="41"/>
      <c r="E131" s="19"/>
      <c r="F131" s="19"/>
      <c r="G131" s="19"/>
      <c r="H131" s="19"/>
      <c r="I131" s="41"/>
      <c r="J131" s="19"/>
      <c r="K131" s="19"/>
      <c r="L131" s="19"/>
      <c r="M131" s="19"/>
    </row>
    <row r="132" spans="1:13">
      <c r="A132" s="19"/>
      <c r="B132" s="19"/>
      <c r="C132" s="19"/>
      <c r="D132" s="41"/>
      <c r="E132" s="19"/>
      <c r="F132" s="19"/>
      <c r="G132" s="19"/>
      <c r="H132" s="19"/>
      <c r="I132" s="41"/>
      <c r="J132" s="19"/>
      <c r="K132" s="19"/>
      <c r="L132" s="19"/>
      <c r="M132" s="19"/>
    </row>
    <row r="133" spans="1:13">
      <c r="A133" s="19"/>
      <c r="B133" s="19"/>
      <c r="C133" s="19"/>
      <c r="D133" s="41"/>
      <c r="E133" s="19"/>
      <c r="F133" s="19"/>
      <c r="G133" s="19"/>
      <c r="H133" s="19"/>
      <c r="I133" s="41"/>
      <c r="J133" s="19"/>
      <c r="K133" s="19"/>
      <c r="L133" s="19"/>
      <c r="M133" s="19"/>
    </row>
    <row r="134" spans="1:13">
      <c r="A134" s="19"/>
      <c r="B134" s="19"/>
      <c r="C134" s="19"/>
      <c r="D134" s="41"/>
      <c r="E134" s="19"/>
      <c r="F134" s="19"/>
      <c r="G134" s="19"/>
      <c r="H134" s="19"/>
      <c r="I134" s="41"/>
      <c r="J134" s="19"/>
      <c r="K134" s="19"/>
      <c r="L134" s="19"/>
      <c r="M134" s="19"/>
    </row>
    <row r="135" spans="1:13">
      <c r="A135" s="19"/>
      <c r="B135" s="19"/>
      <c r="C135" s="19"/>
      <c r="D135" s="41"/>
      <c r="E135" s="19"/>
      <c r="F135" s="19"/>
      <c r="G135" s="19"/>
      <c r="H135" s="19"/>
      <c r="I135" s="41"/>
      <c r="J135" s="19"/>
      <c r="K135" s="19"/>
      <c r="L135" s="19"/>
      <c r="M135" s="19"/>
    </row>
    <row r="136" spans="1:13">
      <c r="A136" s="19"/>
      <c r="B136" s="19"/>
      <c r="C136" s="19"/>
      <c r="D136" s="41"/>
      <c r="E136" s="19"/>
      <c r="F136" s="19"/>
      <c r="G136" s="19"/>
      <c r="H136" s="19"/>
      <c r="I136" s="41"/>
      <c r="J136" s="19"/>
      <c r="K136" s="19"/>
      <c r="L136" s="19"/>
      <c r="M136" s="19"/>
    </row>
    <row r="137" spans="1:13">
      <c r="A137" s="19"/>
      <c r="B137" s="19"/>
      <c r="C137" s="19"/>
      <c r="D137" s="41"/>
      <c r="E137" s="19"/>
      <c r="F137" s="19"/>
      <c r="G137" s="19"/>
      <c r="H137" s="19"/>
      <c r="I137" s="41"/>
      <c r="J137" s="19"/>
      <c r="K137" s="19"/>
      <c r="L137" s="19"/>
      <c r="M137" s="19"/>
    </row>
    <row r="138" spans="1:13">
      <c r="A138" s="19"/>
      <c r="B138" s="19"/>
      <c r="C138" s="19"/>
      <c r="D138" s="41"/>
      <c r="E138" s="19"/>
      <c r="F138" s="19"/>
      <c r="G138" s="19"/>
      <c r="H138" s="19"/>
      <c r="I138" s="41"/>
      <c r="J138" s="19"/>
      <c r="K138" s="19"/>
      <c r="L138" s="19"/>
      <c r="M138" s="19"/>
    </row>
    <row r="139" spans="1:13">
      <c r="A139" s="19"/>
      <c r="B139" s="19"/>
      <c r="C139" s="19"/>
      <c r="D139" s="41"/>
      <c r="E139" s="19"/>
      <c r="F139" s="19"/>
      <c r="G139" s="19"/>
      <c r="H139" s="19"/>
      <c r="I139" s="41"/>
      <c r="J139" s="19"/>
      <c r="K139" s="19"/>
      <c r="L139" s="19"/>
      <c r="M139" s="19"/>
    </row>
    <row r="140" spans="1:13">
      <c r="A140" s="19"/>
      <c r="B140" s="19"/>
      <c r="C140" s="19"/>
      <c r="D140" s="41"/>
      <c r="E140" s="19"/>
      <c r="F140" s="19"/>
      <c r="G140" s="19"/>
      <c r="H140" s="19"/>
      <c r="I140" s="41"/>
      <c r="J140" s="19"/>
      <c r="K140" s="19"/>
      <c r="L140" s="19"/>
      <c r="M140" s="19"/>
    </row>
    <row r="141" spans="1:13">
      <c r="A141" s="19"/>
      <c r="B141" s="19"/>
      <c r="C141" s="19"/>
      <c r="D141" s="41"/>
      <c r="E141" s="19"/>
      <c r="F141" s="19"/>
      <c r="G141" s="19"/>
      <c r="H141" s="19"/>
      <c r="I141" s="41"/>
      <c r="J141" s="19"/>
      <c r="K141" s="19"/>
      <c r="L141" s="19"/>
      <c r="M141" s="19"/>
    </row>
    <row r="142" spans="1:13">
      <c r="A142" s="19"/>
      <c r="B142" s="19"/>
      <c r="C142" s="19"/>
      <c r="D142" s="41"/>
      <c r="E142" s="19"/>
      <c r="F142" s="19"/>
      <c r="G142" s="19"/>
      <c r="H142" s="19"/>
      <c r="I142" s="41"/>
      <c r="J142" s="19"/>
      <c r="K142" s="19"/>
      <c r="L142" s="19"/>
      <c r="M142" s="19"/>
    </row>
    <row r="143" spans="1:13">
      <c r="A143" s="19"/>
      <c r="B143" s="19"/>
      <c r="C143" s="19"/>
      <c r="D143" s="41"/>
      <c r="E143" s="19"/>
      <c r="F143" s="19"/>
      <c r="G143" s="19"/>
      <c r="H143" s="19"/>
      <c r="I143" s="41"/>
      <c r="J143" s="19"/>
      <c r="K143" s="19"/>
      <c r="L143" s="19"/>
      <c r="M143" s="19"/>
    </row>
    <row r="144" spans="1:13">
      <c r="A144" s="19"/>
      <c r="B144" s="19"/>
      <c r="C144" s="19"/>
      <c r="D144" s="41"/>
      <c r="E144" s="19"/>
      <c r="F144" s="19"/>
      <c r="G144" s="19"/>
      <c r="H144" s="19"/>
      <c r="I144" s="41"/>
      <c r="J144" s="19"/>
      <c r="K144" s="19"/>
      <c r="L144" s="19"/>
      <c r="M144" s="19"/>
    </row>
    <row r="145" spans="1:13">
      <c r="A145" s="19"/>
      <c r="B145" s="19"/>
      <c r="C145" s="19"/>
      <c r="D145" s="41"/>
      <c r="E145" s="19"/>
      <c r="F145" s="19"/>
      <c r="G145" s="19"/>
      <c r="H145" s="19"/>
      <c r="I145" s="41"/>
      <c r="J145" s="19"/>
      <c r="K145" s="19"/>
      <c r="L145" s="19"/>
      <c r="M145" s="19"/>
    </row>
    <row r="146" spans="1:13">
      <c r="A146" s="19"/>
      <c r="B146" s="19"/>
      <c r="C146" s="19"/>
      <c r="D146" s="41"/>
      <c r="E146" s="19"/>
      <c r="F146" s="19"/>
      <c r="G146" s="19"/>
      <c r="H146" s="19"/>
      <c r="I146" s="41"/>
      <c r="J146" s="19"/>
      <c r="K146" s="19"/>
      <c r="L146" s="19"/>
      <c r="M146" s="19"/>
    </row>
    <row r="147" spans="1:13">
      <c r="A147" s="19"/>
      <c r="B147" s="19"/>
      <c r="C147" s="19"/>
      <c r="D147" s="41"/>
      <c r="E147" s="19"/>
      <c r="F147" s="19"/>
      <c r="G147" s="19"/>
      <c r="H147" s="19"/>
      <c r="I147" s="41"/>
      <c r="J147" s="19"/>
      <c r="K147" s="19"/>
      <c r="L147" s="19"/>
      <c r="M147" s="19"/>
    </row>
    <row r="148" spans="1:13">
      <c r="A148" s="19"/>
      <c r="B148" s="19"/>
      <c r="C148" s="19"/>
      <c r="D148" s="41"/>
      <c r="E148" s="19"/>
      <c r="F148" s="19"/>
      <c r="G148" s="19"/>
      <c r="H148" s="19"/>
      <c r="I148" s="41"/>
      <c r="J148" s="19"/>
      <c r="K148" s="19"/>
      <c r="L148" s="19"/>
      <c r="M148" s="19"/>
    </row>
    <row r="149" spans="1:13">
      <c r="A149" s="19"/>
      <c r="B149" s="19"/>
      <c r="C149" s="19"/>
      <c r="D149" s="41"/>
      <c r="E149" s="19"/>
      <c r="F149" s="19"/>
      <c r="G149" s="19"/>
      <c r="H149" s="19"/>
      <c r="I149" s="41"/>
      <c r="J149" s="19"/>
      <c r="K149" s="19"/>
      <c r="L149" s="19"/>
      <c r="M149" s="19"/>
    </row>
    <row r="150" spans="1:13">
      <c r="A150" s="19"/>
      <c r="B150" s="19"/>
      <c r="C150" s="19"/>
      <c r="D150" s="41"/>
      <c r="E150" s="19"/>
      <c r="F150" s="19"/>
      <c r="G150" s="19"/>
      <c r="H150" s="19"/>
      <c r="I150" s="41"/>
      <c r="J150" s="19"/>
      <c r="K150" s="19"/>
      <c r="L150" s="19"/>
      <c r="M150" s="19"/>
    </row>
    <row r="151" spans="1:13">
      <c r="A151" s="19"/>
      <c r="B151" s="19"/>
      <c r="C151" s="19"/>
      <c r="D151" s="41"/>
      <c r="E151" s="19"/>
      <c r="F151" s="19"/>
      <c r="G151" s="19"/>
      <c r="H151" s="19"/>
      <c r="I151" s="41"/>
      <c r="J151" s="19"/>
      <c r="K151" s="19"/>
      <c r="L151" s="19"/>
      <c r="M151" s="19"/>
    </row>
    <row r="152" spans="1:13">
      <c r="A152" s="19"/>
      <c r="B152" s="19"/>
      <c r="C152" s="19"/>
      <c r="D152" s="41"/>
      <c r="E152" s="19"/>
      <c r="F152" s="19"/>
      <c r="G152" s="19"/>
      <c r="H152" s="19"/>
      <c r="I152" s="41"/>
      <c r="J152" s="19"/>
      <c r="K152" s="19"/>
      <c r="L152" s="19"/>
      <c r="M152" s="19"/>
    </row>
    <row r="153" spans="1:13">
      <c r="A153" s="19"/>
      <c r="B153" s="19"/>
      <c r="C153" s="19"/>
      <c r="D153" s="41"/>
      <c r="E153" s="19"/>
      <c r="F153" s="19"/>
      <c r="G153" s="19"/>
      <c r="H153" s="19"/>
      <c r="I153" s="41"/>
      <c r="J153" s="19"/>
      <c r="K153" s="19"/>
      <c r="L153" s="19"/>
      <c r="M153" s="19"/>
    </row>
    <row r="154" spans="1:13">
      <c r="A154" s="19"/>
      <c r="B154" s="19"/>
      <c r="C154" s="19"/>
      <c r="D154" s="41"/>
      <c r="E154" s="19"/>
      <c r="F154" s="19"/>
      <c r="G154" s="19"/>
      <c r="H154" s="19"/>
      <c r="I154" s="41"/>
      <c r="J154" s="19"/>
      <c r="K154" s="19"/>
      <c r="L154" s="19"/>
      <c r="M154" s="19"/>
    </row>
    <row r="155" spans="1:13">
      <c r="A155" s="19"/>
      <c r="B155" s="19"/>
      <c r="C155" s="19"/>
      <c r="D155" s="41"/>
      <c r="E155" s="19"/>
      <c r="F155" s="19"/>
      <c r="G155" s="19"/>
      <c r="H155" s="19"/>
      <c r="I155" s="41"/>
      <c r="J155" s="19"/>
      <c r="K155" s="19"/>
      <c r="L155" s="19"/>
      <c r="M155" s="19"/>
    </row>
    <row r="156" spans="1:13">
      <c r="A156" s="19"/>
      <c r="B156" s="19"/>
      <c r="C156" s="19"/>
      <c r="D156" s="41"/>
      <c r="E156" s="19"/>
      <c r="F156" s="19"/>
      <c r="G156" s="19"/>
      <c r="H156" s="19"/>
      <c r="I156" s="41"/>
      <c r="J156" s="19"/>
      <c r="K156" s="19"/>
      <c r="L156" s="19"/>
      <c r="M156" s="19"/>
    </row>
    <row r="157" spans="1:13">
      <c r="A157" s="19"/>
      <c r="B157" s="19"/>
      <c r="C157" s="19"/>
      <c r="D157" s="41"/>
      <c r="E157" s="19"/>
      <c r="F157" s="19"/>
      <c r="G157" s="19"/>
      <c r="H157" s="19"/>
      <c r="I157" s="41"/>
      <c r="J157" s="19"/>
      <c r="K157" s="19"/>
      <c r="L157" s="19"/>
      <c r="M157" s="19"/>
    </row>
    <row r="158" spans="1:13">
      <c r="A158" s="19"/>
      <c r="B158" s="19"/>
      <c r="C158" s="19"/>
      <c r="D158" s="41"/>
      <c r="E158" s="19"/>
      <c r="F158" s="19"/>
      <c r="G158" s="19"/>
      <c r="H158" s="19"/>
      <c r="I158" s="41"/>
      <c r="J158" s="19"/>
      <c r="K158" s="19"/>
      <c r="L158" s="19"/>
      <c r="M158" s="19"/>
    </row>
    <row r="159" spans="1:13">
      <c r="A159" s="19"/>
      <c r="B159" s="19"/>
      <c r="C159" s="19"/>
      <c r="D159" s="41"/>
      <c r="E159" s="19"/>
      <c r="F159" s="19"/>
      <c r="G159" s="19"/>
      <c r="H159" s="19"/>
      <c r="I159" s="41"/>
      <c r="J159" s="19"/>
      <c r="K159" s="19"/>
      <c r="L159" s="19"/>
      <c r="M159" s="19"/>
    </row>
    <row r="160" spans="1:13">
      <c r="A160" s="19"/>
      <c r="B160" s="19"/>
      <c r="C160" s="19"/>
      <c r="D160" s="41"/>
      <c r="E160" s="19"/>
      <c r="F160" s="19"/>
      <c r="G160" s="19"/>
      <c r="H160" s="19"/>
      <c r="I160" s="41"/>
      <c r="J160" s="19"/>
      <c r="K160" s="19"/>
      <c r="L160" s="19"/>
      <c r="M160" s="19"/>
    </row>
    <row r="161" spans="1:13">
      <c r="A161" s="19"/>
      <c r="B161" s="19"/>
      <c r="C161" s="19"/>
      <c r="D161" s="41"/>
      <c r="E161" s="19"/>
      <c r="F161" s="19"/>
      <c r="G161" s="19"/>
      <c r="H161" s="19"/>
      <c r="I161" s="41"/>
      <c r="J161" s="19"/>
      <c r="K161" s="19"/>
      <c r="L161" s="19"/>
      <c r="M161" s="19"/>
    </row>
    <row r="162" spans="1:13">
      <c r="A162" s="19"/>
      <c r="B162" s="19"/>
      <c r="C162" s="19"/>
      <c r="D162" s="41"/>
      <c r="E162" s="19"/>
      <c r="F162" s="19"/>
      <c r="G162" s="19"/>
      <c r="H162" s="19"/>
      <c r="I162" s="41"/>
      <c r="J162" s="19"/>
      <c r="K162" s="19"/>
      <c r="L162" s="19"/>
      <c r="M162" s="19"/>
    </row>
    <row r="163" spans="1:13">
      <c r="A163" s="19"/>
      <c r="B163" s="19"/>
      <c r="C163" s="19"/>
      <c r="D163" s="41"/>
      <c r="E163" s="19"/>
      <c r="F163" s="19"/>
      <c r="G163" s="19"/>
      <c r="H163" s="19"/>
      <c r="I163" s="41"/>
      <c r="J163" s="19"/>
      <c r="K163" s="19"/>
      <c r="L163" s="19"/>
      <c r="M163" s="19"/>
    </row>
    <row r="164" spans="1:13">
      <c r="A164" s="19"/>
      <c r="B164" s="19"/>
      <c r="C164" s="19"/>
      <c r="D164" s="41"/>
      <c r="E164" s="19"/>
      <c r="F164" s="19"/>
      <c r="G164" s="19"/>
      <c r="H164" s="19"/>
      <c r="I164" s="41"/>
      <c r="J164" s="19"/>
      <c r="K164" s="19"/>
      <c r="L164" s="19"/>
      <c r="M164" s="19"/>
    </row>
    <row r="165" spans="1:13">
      <c r="A165" s="19"/>
      <c r="B165" s="19"/>
      <c r="C165" s="19"/>
      <c r="D165" s="41"/>
      <c r="E165" s="19"/>
      <c r="F165" s="19"/>
      <c r="G165" s="19"/>
      <c r="H165" s="19"/>
      <c r="I165" s="41"/>
      <c r="J165" s="19"/>
      <c r="K165" s="19"/>
      <c r="L165" s="19"/>
      <c r="M165" s="19"/>
    </row>
    <row r="166" spans="1:13">
      <c r="A166" s="19"/>
      <c r="B166" s="19"/>
      <c r="C166" s="19"/>
      <c r="D166" s="41"/>
      <c r="E166" s="19"/>
      <c r="F166" s="19"/>
      <c r="G166" s="19"/>
      <c r="H166" s="19"/>
      <c r="I166" s="41"/>
      <c r="J166" s="19"/>
      <c r="K166" s="19"/>
      <c r="L166" s="19"/>
      <c r="M166" s="19"/>
    </row>
    <row r="167" spans="1:13">
      <c r="A167" s="19"/>
      <c r="B167" s="19"/>
      <c r="C167" s="19"/>
      <c r="D167" s="41"/>
      <c r="E167" s="19"/>
      <c r="F167" s="19"/>
      <c r="G167" s="19"/>
      <c r="H167" s="19"/>
      <c r="I167" s="41"/>
      <c r="J167" s="19"/>
      <c r="K167" s="19"/>
      <c r="L167" s="19"/>
      <c r="M167" s="19"/>
    </row>
    <row r="168" spans="1:13">
      <c r="A168" s="19"/>
      <c r="B168" s="19"/>
      <c r="C168" s="19"/>
      <c r="D168" s="41"/>
      <c r="E168" s="19"/>
      <c r="F168" s="19"/>
      <c r="G168" s="19"/>
      <c r="H168" s="19"/>
      <c r="I168" s="41"/>
      <c r="J168" s="19"/>
      <c r="K168" s="19"/>
      <c r="L168" s="19"/>
      <c r="M168" s="19"/>
    </row>
    <row r="169" spans="1:13">
      <c r="A169" s="19"/>
      <c r="B169" s="19"/>
      <c r="C169" s="19"/>
      <c r="D169" s="41"/>
      <c r="E169" s="19"/>
      <c r="F169" s="19"/>
      <c r="G169" s="19"/>
      <c r="H169" s="19"/>
      <c r="I169" s="41"/>
      <c r="J169" s="19"/>
      <c r="K169" s="19"/>
      <c r="L169" s="19"/>
      <c r="M169" s="19"/>
    </row>
    <row r="170" spans="1:13">
      <c r="A170" s="19"/>
      <c r="B170" s="19"/>
      <c r="C170" s="19"/>
      <c r="D170" s="41"/>
      <c r="E170" s="19"/>
      <c r="F170" s="19"/>
      <c r="G170" s="19"/>
      <c r="H170" s="19"/>
      <c r="I170" s="41"/>
      <c r="J170" s="19"/>
      <c r="K170" s="19"/>
      <c r="L170" s="19"/>
      <c r="M170" s="19"/>
    </row>
    <row r="171" spans="1:13">
      <c r="A171" s="19"/>
      <c r="B171" s="19"/>
      <c r="C171" s="19"/>
      <c r="D171" s="41"/>
      <c r="E171" s="19"/>
      <c r="F171" s="19"/>
      <c r="G171" s="19"/>
      <c r="H171" s="19"/>
      <c r="I171" s="41"/>
      <c r="J171" s="19"/>
      <c r="K171" s="19"/>
      <c r="L171" s="19"/>
      <c r="M171" s="19"/>
    </row>
    <row r="172" spans="1:13">
      <c r="A172" s="19"/>
      <c r="B172" s="19"/>
      <c r="C172" s="19"/>
      <c r="D172" s="41"/>
      <c r="E172" s="19"/>
      <c r="F172" s="19"/>
      <c r="G172" s="19"/>
      <c r="H172" s="19"/>
      <c r="I172" s="41"/>
      <c r="J172" s="19"/>
      <c r="K172" s="19"/>
      <c r="L172" s="19"/>
      <c r="M172" s="19"/>
    </row>
    <row r="173" spans="1:13">
      <c r="A173" s="19"/>
      <c r="B173" s="19"/>
      <c r="C173" s="19"/>
      <c r="D173" s="41"/>
      <c r="E173" s="19"/>
      <c r="F173" s="19"/>
      <c r="G173" s="19"/>
      <c r="H173" s="19"/>
      <c r="I173" s="41"/>
      <c r="J173" s="19"/>
      <c r="K173" s="19"/>
      <c r="L173" s="19"/>
      <c r="M173" s="19"/>
    </row>
    <row r="174" spans="1:13">
      <c r="A174" s="19"/>
      <c r="B174" s="19"/>
      <c r="C174" s="19"/>
      <c r="D174" s="41"/>
      <c r="E174" s="19"/>
      <c r="F174" s="19"/>
      <c r="G174" s="19"/>
      <c r="H174" s="19"/>
      <c r="I174" s="41"/>
      <c r="J174" s="19"/>
      <c r="K174" s="19"/>
      <c r="L174" s="19"/>
      <c r="M174" s="19"/>
    </row>
    <row r="175" spans="1:13">
      <c r="A175" s="19"/>
      <c r="B175" s="19"/>
      <c r="C175" s="19"/>
      <c r="D175" s="41"/>
      <c r="E175" s="19"/>
      <c r="F175" s="19"/>
      <c r="G175" s="19"/>
      <c r="H175" s="19"/>
      <c r="I175" s="41"/>
      <c r="J175" s="19"/>
      <c r="K175" s="19"/>
      <c r="L175" s="19"/>
      <c r="M175" s="19"/>
    </row>
    <row r="176" spans="1:13">
      <c r="A176" s="19"/>
      <c r="B176" s="19"/>
      <c r="C176" s="19"/>
      <c r="D176" s="41"/>
      <c r="E176" s="19"/>
      <c r="F176" s="19"/>
      <c r="G176" s="19"/>
      <c r="H176" s="19"/>
      <c r="I176" s="41"/>
      <c r="J176" s="19"/>
      <c r="K176" s="19"/>
      <c r="L176" s="19"/>
      <c r="M176" s="19"/>
    </row>
    <row r="177" spans="1:13">
      <c r="A177" s="19"/>
      <c r="B177" s="19"/>
      <c r="C177" s="19"/>
      <c r="D177" s="41"/>
      <c r="E177" s="19"/>
      <c r="F177" s="19"/>
      <c r="G177" s="19"/>
      <c r="H177" s="19"/>
      <c r="I177" s="41"/>
      <c r="J177" s="19"/>
      <c r="K177" s="19"/>
      <c r="L177" s="19"/>
      <c r="M177" s="19"/>
    </row>
    <row r="178" spans="1:13">
      <c r="A178" s="19"/>
      <c r="B178" s="19"/>
      <c r="C178" s="19"/>
      <c r="D178" s="41"/>
      <c r="E178" s="19"/>
      <c r="F178" s="19"/>
      <c r="G178" s="19"/>
      <c r="H178" s="19"/>
      <c r="I178" s="41"/>
      <c r="J178" s="19"/>
      <c r="K178" s="19"/>
      <c r="L178" s="19"/>
      <c r="M178" s="19"/>
    </row>
    <row r="179" spans="1:13">
      <c r="A179" s="19"/>
      <c r="B179" s="19"/>
      <c r="C179" s="19"/>
      <c r="D179" s="41"/>
      <c r="E179" s="19"/>
      <c r="F179" s="19"/>
      <c r="G179" s="19"/>
      <c r="H179" s="19"/>
      <c r="I179" s="41"/>
      <c r="J179" s="19"/>
      <c r="K179" s="19"/>
      <c r="L179" s="19"/>
      <c r="M179" s="19"/>
    </row>
    <row r="180" spans="1:13">
      <c r="A180" s="19"/>
      <c r="B180" s="19"/>
      <c r="C180" s="19"/>
      <c r="D180" s="41"/>
      <c r="E180" s="19"/>
      <c r="F180" s="19"/>
      <c r="G180" s="19"/>
      <c r="H180" s="19"/>
      <c r="I180" s="41"/>
      <c r="J180" s="19"/>
      <c r="K180" s="19"/>
      <c r="L180" s="19"/>
      <c r="M180" s="19"/>
    </row>
    <row r="181" spans="1:13">
      <c r="A181" s="19"/>
      <c r="B181" s="19"/>
      <c r="C181" s="19"/>
      <c r="D181" s="41"/>
      <c r="E181" s="19"/>
      <c r="F181" s="19"/>
      <c r="G181" s="19"/>
      <c r="H181" s="19"/>
      <c r="I181" s="41"/>
      <c r="J181" s="19"/>
      <c r="K181" s="19"/>
      <c r="L181" s="19"/>
      <c r="M181" s="19"/>
    </row>
    <row r="182" spans="1:13">
      <c r="A182" s="19"/>
      <c r="B182" s="19"/>
      <c r="C182" s="19"/>
      <c r="D182" s="41"/>
      <c r="E182" s="19"/>
      <c r="F182" s="19"/>
      <c r="G182" s="19"/>
      <c r="H182" s="19"/>
      <c r="I182" s="41"/>
      <c r="J182" s="19"/>
      <c r="K182" s="19"/>
      <c r="L182" s="19"/>
      <c r="M182" s="19"/>
    </row>
    <row r="183" spans="1:13">
      <c r="A183" s="19"/>
      <c r="B183" s="19"/>
      <c r="C183" s="19"/>
      <c r="D183" s="41"/>
      <c r="E183" s="19"/>
      <c r="F183" s="19"/>
      <c r="G183" s="19"/>
      <c r="H183" s="19"/>
      <c r="I183" s="41"/>
      <c r="J183" s="19"/>
      <c r="K183" s="19"/>
      <c r="L183" s="19"/>
      <c r="M183" s="19"/>
    </row>
    <row r="184" spans="1:13">
      <c r="A184" s="19"/>
      <c r="B184" s="19"/>
      <c r="C184" s="19"/>
      <c r="D184" s="41"/>
      <c r="E184" s="19"/>
      <c r="F184" s="19"/>
      <c r="G184" s="19"/>
      <c r="H184" s="19"/>
      <c r="I184" s="41"/>
      <c r="J184" s="19"/>
      <c r="K184" s="19"/>
      <c r="L184" s="19"/>
      <c r="M184" s="19"/>
    </row>
    <row r="185" spans="1:13">
      <c r="A185" s="19"/>
      <c r="B185" s="19"/>
      <c r="C185" s="19"/>
      <c r="D185" s="41"/>
      <c r="E185" s="19"/>
      <c r="F185" s="19"/>
      <c r="G185" s="19"/>
      <c r="H185" s="19"/>
      <c r="I185" s="41"/>
      <c r="J185" s="19"/>
      <c r="K185" s="19"/>
      <c r="L185" s="19"/>
      <c r="M185" s="19"/>
    </row>
    <row r="186" spans="1:13">
      <c r="A186" s="19"/>
      <c r="B186" s="19"/>
      <c r="C186" s="19"/>
      <c r="D186" s="41"/>
      <c r="E186" s="19"/>
      <c r="F186" s="19"/>
      <c r="G186" s="19"/>
      <c r="H186" s="19"/>
      <c r="I186" s="41"/>
      <c r="J186" s="19"/>
      <c r="K186" s="19"/>
      <c r="L186" s="19"/>
      <c r="M186" s="19"/>
    </row>
    <row r="187" spans="1:13">
      <c r="A187" s="19"/>
      <c r="B187" s="19"/>
      <c r="C187" s="19"/>
      <c r="D187" s="41"/>
      <c r="E187" s="19"/>
      <c r="F187" s="19"/>
      <c r="G187" s="19"/>
      <c r="H187" s="19"/>
      <c r="I187" s="41"/>
      <c r="J187" s="19"/>
      <c r="K187" s="19"/>
      <c r="L187" s="19"/>
      <c r="M187" s="19"/>
    </row>
    <row r="188" spans="1:13">
      <c r="A188" s="19"/>
      <c r="B188" s="19"/>
      <c r="C188" s="19"/>
      <c r="D188" s="41"/>
      <c r="E188" s="19"/>
      <c r="F188" s="19"/>
      <c r="G188" s="19"/>
      <c r="H188" s="19"/>
      <c r="I188" s="41"/>
      <c r="J188" s="19"/>
      <c r="K188" s="19"/>
      <c r="L188" s="19"/>
      <c r="M188" s="19"/>
    </row>
    <row r="189" spans="1:13">
      <c r="A189" s="19"/>
      <c r="B189" s="19"/>
      <c r="C189" s="19"/>
      <c r="D189" s="41"/>
      <c r="E189" s="19"/>
      <c r="F189" s="19"/>
      <c r="G189" s="19"/>
      <c r="H189" s="19"/>
      <c r="I189" s="41"/>
      <c r="J189" s="19"/>
      <c r="K189" s="19"/>
      <c r="L189" s="19"/>
      <c r="M189" s="19"/>
    </row>
    <row r="190" spans="1:13">
      <c r="A190" s="19"/>
      <c r="B190" s="19"/>
      <c r="C190" s="19"/>
      <c r="D190" s="41"/>
      <c r="E190" s="19"/>
      <c r="F190" s="19"/>
      <c r="G190" s="19"/>
      <c r="H190" s="19"/>
      <c r="I190" s="41"/>
      <c r="J190" s="19"/>
      <c r="K190" s="19"/>
      <c r="L190" s="19"/>
      <c r="M190" s="19"/>
    </row>
    <row r="191" spans="1:13">
      <c r="A191" s="19"/>
      <c r="B191" s="19"/>
      <c r="C191" s="19"/>
      <c r="D191" s="41"/>
      <c r="E191" s="19"/>
      <c r="F191" s="19"/>
      <c r="G191" s="19"/>
      <c r="H191" s="19"/>
      <c r="I191" s="41"/>
      <c r="J191" s="19"/>
      <c r="K191" s="19"/>
      <c r="L191" s="19"/>
      <c r="M191" s="19"/>
    </row>
    <row r="192" spans="1:13">
      <c r="A192" s="19"/>
      <c r="B192" s="19"/>
      <c r="C192" s="19"/>
      <c r="D192" s="41"/>
      <c r="E192" s="19"/>
      <c r="F192" s="19"/>
      <c r="G192" s="19"/>
      <c r="H192" s="19"/>
      <c r="I192" s="41"/>
      <c r="J192" s="19"/>
      <c r="K192" s="19"/>
      <c r="L192" s="19"/>
      <c r="M192" s="19"/>
    </row>
    <row r="193" spans="1:13">
      <c r="A193" s="19"/>
      <c r="B193" s="19"/>
      <c r="C193" s="19"/>
      <c r="D193" s="41"/>
      <c r="E193" s="19"/>
      <c r="F193" s="19"/>
      <c r="G193" s="19"/>
      <c r="H193" s="19"/>
      <c r="I193" s="41"/>
      <c r="J193" s="19"/>
      <c r="K193" s="19"/>
      <c r="L193" s="19"/>
      <c r="M193" s="19"/>
    </row>
    <row r="194" spans="1:13">
      <c r="A194" s="19"/>
      <c r="B194" s="19"/>
      <c r="C194" s="19"/>
      <c r="D194" s="41"/>
      <c r="E194" s="19"/>
      <c r="F194" s="19"/>
      <c r="G194" s="19"/>
      <c r="H194" s="19"/>
      <c r="I194" s="41"/>
      <c r="J194" s="19"/>
      <c r="K194" s="19"/>
      <c r="L194" s="19"/>
      <c r="M194" s="19"/>
    </row>
    <row r="195" spans="1:13">
      <c r="A195" s="19"/>
      <c r="B195" s="19"/>
      <c r="C195" s="19"/>
      <c r="D195" s="41"/>
      <c r="E195" s="19"/>
      <c r="F195" s="19"/>
      <c r="G195" s="19"/>
      <c r="H195" s="19"/>
      <c r="I195" s="41"/>
      <c r="J195" s="19"/>
      <c r="K195" s="19"/>
      <c r="L195" s="19"/>
      <c r="M195" s="19"/>
    </row>
    <row r="196" spans="1:13">
      <c r="A196" s="19"/>
      <c r="B196" s="19"/>
      <c r="C196" s="19"/>
      <c r="D196" s="41"/>
      <c r="E196" s="19"/>
      <c r="F196" s="19"/>
      <c r="G196" s="19"/>
      <c r="H196" s="19"/>
      <c r="I196" s="41"/>
      <c r="J196" s="19"/>
      <c r="K196" s="19"/>
      <c r="L196" s="19"/>
      <c r="M196" s="19"/>
    </row>
    <row r="197" spans="1:13">
      <c r="A197" s="19"/>
      <c r="B197" s="19"/>
      <c r="C197" s="19"/>
      <c r="D197" s="41"/>
      <c r="E197" s="19"/>
      <c r="F197" s="19"/>
      <c r="G197" s="19"/>
      <c r="H197" s="19"/>
      <c r="I197" s="41"/>
      <c r="J197" s="19"/>
      <c r="K197" s="19"/>
      <c r="L197" s="19"/>
      <c r="M197" s="19"/>
    </row>
    <row r="198" spans="1:13">
      <c r="A198" s="19"/>
      <c r="B198" s="19"/>
      <c r="C198" s="19"/>
      <c r="D198" s="41"/>
      <c r="E198" s="19"/>
      <c r="F198" s="19"/>
      <c r="G198" s="19"/>
      <c r="H198" s="19"/>
      <c r="I198" s="41"/>
      <c r="J198" s="19"/>
      <c r="K198" s="19"/>
      <c r="L198" s="19"/>
      <c r="M198" s="19"/>
    </row>
    <row r="199" spans="1:13">
      <c r="A199" s="19"/>
      <c r="B199" s="19"/>
      <c r="C199" s="19"/>
      <c r="D199" s="41"/>
      <c r="E199" s="19"/>
      <c r="F199" s="19"/>
      <c r="G199" s="19"/>
      <c r="H199" s="19"/>
      <c r="I199" s="41"/>
      <c r="J199" s="19"/>
      <c r="K199" s="19"/>
      <c r="L199" s="19"/>
      <c r="M199" s="19"/>
    </row>
    <row r="200" spans="1:13">
      <c r="A200" s="19"/>
      <c r="B200" s="19"/>
      <c r="C200" s="19"/>
      <c r="D200" s="41"/>
      <c r="E200" s="19"/>
      <c r="F200" s="19"/>
      <c r="G200" s="19"/>
      <c r="H200" s="19"/>
      <c r="I200" s="41"/>
      <c r="J200" s="19"/>
      <c r="K200" s="19"/>
      <c r="L200" s="19"/>
      <c r="M200" s="19"/>
    </row>
    <row r="201" spans="1:13">
      <c r="A201" s="19"/>
      <c r="B201" s="19"/>
      <c r="C201" s="19"/>
      <c r="D201" s="41"/>
      <c r="E201" s="19"/>
      <c r="F201" s="19"/>
      <c r="G201" s="19"/>
      <c r="H201" s="19"/>
      <c r="I201" s="41"/>
      <c r="J201" s="19"/>
      <c r="K201" s="19"/>
      <c r="L201" s="19"/>
      <c r="M201" s="19"/>
    </row>
    <row r="202" spans="1:13">
      <c r="A202" s="19"/>
      <c r="B202" s="19"/>
      <c r="C202" s="19"/>
      <c r="D202" s="41"/>
      <c r="E202" s="19"/>
      <c r="F202" s="19"/>
      <c r="G202" s="19"/>
      <c r="H202" s="19"/>
      <c r="I202" s="41"/>
      <c r="J202" s="19"/>
      <c r="K202" s="19"/>
      <c r="L202" s="19"/>
      <c r="M202" s="19"/>
    </row>
    <row r="203" spans="1:13">
      <c r="A203" s="19"/>
      <c r="B203" s="19"/>
      <c r="C203" s="19"/>
      <c r="D203" s="41"/>
      <c r="E203" s="19"/>
      <c r="F203" s="19"/>
      <c r="G203" s="19"/>
      <c r="H203" s="19"/>
      <c r="I203" s="41"/>
      <c r="J203" s="19"/>
      <c r="K203" s="19"/>
      <c r="L203" s="19"/>
      <c r="M203" s="19"/>
    </row>
    <row r="204" spans="1:13">
      <c r="A204" s="19"/>
      <c r="B204" s="19"/>
      <c r="C204" s="19"/>
      <c r="D204" s="41"/>
      <c r="E204" s="19"/>
      <c r="F204" s="19"/>
      <c r="G204" s="19"/>
      <c r="H204" s="19"/>
      <c r="I204" s="41"/>
      <c r="J204" s="19"/>
      <c r="K204" s="19"/>
      <c r="L204" s="19"/>
      <c r="M204" s="19"/>
    </row>
    <row r="205" spans="1:13">
      <c r="A205" s="19"/>
      <c r="B205" s="19"/>
      <c r="C205" s="19"/>
      <c r="D205" s="41"/>
      <c r="E205" s="19"/>
      <c r="F205" s="19"/>
      <c r="G205" s="19"/>
      <c r="H205" s="19"/>
      <c r="I205" s="41"/>
      <c r="J205" s="19"/>
      <c r="K205" s="19"/>
      <c r="L205" s="19"/>
      <c r="M205" s="19"/>
    </row>
    <row r="206" spans="1:13">
      <c r="A206" s="19"/>
      <c r="B206" s="19"/>
      <c r="C206" s="19"/>
      <c r="D206" s="41"/>
      <c r="E206" s="19"/>
      <c r="F206" s="19"/>
      <c r="G206" s="19"/>
      <c r="H206" s="19"/>
      <c r="I206" s="41"/>
      <c r="J206" s="19"/>
      <c r="K206" s="19"/>
      <c r="L206" s="19"/>
      <c r="M206" s="19"/>
    </row>
    <row r="207" spans="1:13">
      <c r="A207" s="19"/>
      <c r="B207" s="19"/>
      <c r="C207" s="19"/>
      <c r="D207" s="41"/>
      <c r="E207" s="19"/>
      <c r="F207" s="19"/>
      <c r="G207" s="19"/>
      <c r="H207" s="19"/>
      <c r="I207" s="41"/>
      <c r="J207" s="19"/>
      <c r="K207" s="19"/>
      <c r="L207" s="19"/>
      <c r="M207" s="19"/>
    </row>
    <row r="208" spans="1:13">
      <c r="A208" s="19"/>
      <c r="B208" s="19"/>
      <c r="C208" s="19"/>
      <c r="D208" s="41"/>
      <c r="E208" s="19"/>
      <c r="F208" s="19"/>
      <c r="G208" s="19"/>
      <c r="H208" s="19"/>
      <c r="I208" s="41"/>
      <c r="J208" s="19"/>
      <c r="K208" s="19"/>
      <c r="L208" s="19"/>
      <c r="M208" s="19"/>
    </row>
    <row r="209" spans="1:13">
      <c r="A209" s="19"/>
      <c r="B209" s="19"/>
      <c r="C209" s="19"/>
      <c r="D209" s="41"/>
      <c r="E209" s="19"/>
      <c r="F209" s="19"/>
      <c r="G209" s="19"/>
      <c r="H209" s="19"/>
      <c r="I209" s="41"/>
      <c r="J209" s="19"/>
      <c r="K209" s="19"/>
      <c r="L209" s="19"/>
      <c r="M209" s="19"/>
    </row>
    <row r="210" spans="1:13">
      <c r="A210" s="19"/>
      <c r="B210" s="19"/>
      <c r="C210" s="19"/>
      <c r="D210" s="41"/>
      <c r="E210" s="19"/>
      <c r="F210" s="19"/>
      <c r="G210" s="19"/>
      <c r="H210" s="19"/>
      <c r="I210" s="41"/>
      <c r="J210" s="19"/>
      <c r="K210" s="19"/>
      <c r="L210" s="19"/>
      <c r="M210" s="19"/>
    </row>
    <row r="211" spans="1:13">
      <c r="A211" s="19"/>
      <c r="B211" s="19"/>
      <c r="C211" s="19"/>
      <c r="D211" s="41"/>
      <c r="E211" s="19"/>
      <c r="F211" s="19"/>
      <c r="G211" s="19"/>
      <c r="H211" s="19"/>
      <c r="I211" s="41"/>
      <c r="J211" s="19"/>
      <c r="K211" s="19"/>
      <c r="L211" s="19"/>
      <c r="M211" s="19"/>
    </row>
    <row r="212" spans="1:13">
      <c r="A212" s="19"/>
      <c r="B212" s="19"/>
      <c r="C212" s="19"/>
      <c r="D212" s="41"/>
      <c r="E212" s="19"/>
      <c r="F212" s="19"/>
      <c r="G212" s="19"/>
      <c r="H212" s="19"/>
      <c r="I212" s="41"/>
      <c r="J212" s="19"/>
      <c r="K212" s="19"/>
      <c r="L212" s="19"/>
      <c r="M212" s="19"/>
    </row>
    <row r="213" spans="1:13">
      <c r="A213" s="19"/>
      <c r="B213" s="19"/>
      <c r="C213" s="19"/>
      <c r="D213" s="41"/>
      <c r="E213" s="19"/>
      <c r="F213" s="19"/>
      <c r="G213" s="19"/>
      <c r="H213" s="19"/>
      <c r="I213" s="41"/>
      <c r="J213" s="19"/>
      <c r="K213" s="19"/>
      <c r="L213" s="19"/>
      <c r="M213" s="19"/>
    </row>
    <row r="214" spans="1:13">
      <c r="A214" s="19"/>
      <c r="B214" s="19"/>
      <c r="C214" s="19"/>
      <c r="D214" s="41"/>
      <c r="E214" s="19"/>
      <c r="F214" s="19"/>
      <c r="G214" s="19"/>
      <c r="H214" s="19"/>
      <c r="I214" s="41"/>
      <c r="J214" s="19"/>
      <c r="K214" s="19"/>
      <c r="L214" s="19"/>
      <c r="M214" s="19"/>
    </row>
    <row r="215" spans="1:13">
      <c r="A215" s="19"/>
      <c r="B215" s="19"/>
      <c r="C215" s="19"/>
      <c r="D215" s="41"/>
      <c r="E215" s="19"/>
      <c r="F215" s="19"/>
      <c r="G215" s="19"/>
      <c r="H215" s="19"/>
      <c r="I215" s="41"/>
      <c r="J215" s="19"/>
      <c r="K215" s="19"/>
      <c r="L215" s="19"/>
      <c r="M215" s="19"/>
    </row>
    <row r="216" spans="1:13">
      <c r="A216" s="19"/>
      <c r="B216" s="19"/>
      <c r="C216" s="19"/>
      <c r="D216" s="41"/>
      <c r="E216" s="19"/>
      <c r="F216" s="19"/>
      <c r="G216" s="19"/>
      <c r="H216" s="19"/>
      <c r="I216" s="41"/>
      <c r="J216" s="19"/>
      <c r="K216" s="19"/>
      <c r="L216" s="19"/>
      <c r="M216" s="19"/>
    </row>
    <row r="217" spans="1:13">
      <c r="A217" s="19"/>
      <c r="B217" s="19"/>
      <c r="C217" s="19"/>
      <c r="D217" s="41"/>
      <c r="E217" s="19"/>
      <c r="F217" s="19"/>
      <c r="G217" s="19"/>
      <c r="H217" s="19"/>
      <c r="I217" s="41"/>
      <c r="J217" s="19"/>
      <c r="K217" s="19"/>
      <c r="L217" s="19"/>
      <c r="M217" s="19"/>
    </row>
    <row r="218" spans="1:13">
      <c r="A218" s="19"/>
      <c r="B218" s="19"/>
      <c r="C218" s="19"/>
      <c r="D218" s="41"/>
      <c r="E218" s="19"/>
      <c r="F218" s="19"/>
      <c r="G218" s="19"/>
      <c r="H218" s="19"/>
      <c r="I218" s="41"/>
      <c r="J218" s="19"/>
      <c r="K218" s="19"/>
      <c r="L218" s="19"/>
      <c r="M218" s="19"/>
    </row>
    <row r="219" spans="1:13">
      <c r="A219" s="19"/>
      <c r="B219" s="19"/>
      <c r="C219" s="19"/>
      <c r="D219" s="41"/>
      <c r="E219" s="19"/>
      <c r="F219" s="19"/>
      <c r="G219" s="19"/>
      <c r="H219" s="19"/>
      <c r="I219" s="41"/>
      <c r="J219" s="19"/>
      <c r="K219" s="19"/>
      <c r="L219" s="19"/>
      <c r="M219" s="19"/>
    </row>
    <row r="220" spans="1:13">
      <c r="A220" s="19"/>
      <c r="B220" s="19"/>
      <c r="C220" s="19"/>
      <c r="D220" s="41"/>
      <c r="E220" s="19"/>
      <c r="F220" s="19"/>
      <c r="G220" s="19"/>
      <c r="H220" s="19"/>
      <c r="I220" s="41"/>
      <c r="J220" s="19"/>
      <c r="K220" s="19"/>
      <c r="L220" s="19"/>
      <c r="M220" s="19"/>
    </row>
    <row r="221" spans="1:13">
      <c r="A221" s="19"/>
      <c r="B221" s="19"/>
      <c r="C221" s="19"/>
      <c r="D221" s="41"/>
      <c r="E221" s="19"/>
      <c r="F221" s="19"/>
      <c r="G221" s="19"/>
      <c r="H221" s="19"/>
      <c r="I221" s="41"/>
      <c r="J221" s="19"/>
      <c r="K221" s="19"/>
      <c r="L221" s="19"/>
      <c r="M221" s="19"/>
    </row>
    <row r="222" spans="1:13">
      <c r="A222" s="19"/>
      <c r="B222" s="19"/>
      <c r="C222" s="19"/>
      <c r="D222" s="41"/>
      <c r="E222" s="19"/>
      <c r="F222" s="19"/>
      <c r="G222" s="19"/>
      <c r="H222" s="19"/>
      <c r="I222" s="41"/>
      <c r="J222" s="19"/>
      <c r="K222" s="19"/>
      <c r="L222" s="19"/>
      <c r="M222" s="19"/>
    </row>
    <row r="223" spans="1:13">
      <c r="A223" s="19"/>
      <c r="B223" s="19"/>
      <c r="C223" s="19"/>
      <c r="D223" s="41"/>
      <c r="E223" s="19"/>
      <c r="F223" s="19"/>
      <c r="G223" s="19"/>
      <c r="H223" s="19"/>
      <c r="I223" s="41"/>
      <c r="J223" s="19"/>
      <c r="K223" s="19"/>
      <c r="L223" s="19"/>
      <c r="M223" s="19"/>
    </row>
    <row r="224" spans="1:13">
      <c r="A224" s="19"/>
      <c r="B224" s="19"/>
      <c r="C224" s="19"/>
      <c r="D224" s="41"/>
      <c r="E224" s="19"/>
      <c r="F224" s="19"/>
      <c r="G224" s="19"/>
      <c r="H224" s="19"/>
      <c r="I224" s="41"/>
      <c r="J224" s="19"/>
      <c r="K224" s="19"/>
      <c r="L224" s="19"/>
      <c r="M224" s="19"/>
    </row>
    <row r="225" spans="1:13">
      <c r="A225" s="19"/>
      <c r="B225" s="19"/>
      <c r="C225" s="19"/>
      <c r="D225" s="41"/>
      <c r="E225" s="19"/>
      <c r="F225" s="19"/>
      <c r="G225" s="19"/>
      <c r="H225" s="19"/>
      <c r="I225" s="41"/>
      <c r="J225" s="19"/>
      <c r="K225" s="19"/>
      <c r="L225" s="19"/>
      <c r="M225" s="19"/>
    </row>
    <row r="226" spans="1:13">
      <c r="A226" s="19"/>
      <c r="B226" s="19"/>
      <c r="C226" s="19"/>
      <c r="D226" s="41"/>
      <c r="E226" s="19"/>
      <c r="F226" s="19"/>
      <c r="G226" s="19"/>
      <c r="H226" s="19"/>
      <c r="I226" s="41"/>
      <c r="J226" s="19"/>
      <c r="K226" s="19"/>
      <c r="L226" s="19"/>
      <c r="M226" s="19"/>
    </row>
    <row r="227" spans="1:13">
      <c r="A227" s="19"/>
      <c r="B227" s="19"/>
      <c r="C227" s="19"/>
      <c r="D227" s="41"/>
      <c r="E227" s="19"/>
      <c r="F227" s="19"/>
      <c r="G227" s="19"/>
      <c r="H227" s="19"/>
      <c r="I227" s="41"/>
      <c r="J227" s="19"/>
      <c r="K227" s="19"/>
      <c r="L227" s="19"/>
      <c r="M227" s="19"/>
    </row>
    <row r="228" spans="1:13">
      <c r="A228" s="19"/>
      <c r="B228" s="19"/>
      <c r="C228" s="19"/>
      <c r="D228" s="41"/>
      <c r="E228" s="19"/>
      <c r="F228" s="19"/>
      <c r="G228" s="19"/>
      <c r="H228" s="19"/>
      <c r="I228" s="41"/>
      <c r="J228" s="19"/>
      <c r="K228" s="19"/>
      <c r="L228" s="19"/>
      <c r="M228" s="19"/>
    </row>
    <row r="229" spans="1:13">
      <c r="A229" s="19"/>
      <c r="B229" s="19"/>
      <c r="C229" s="19"/>
      <c r="D229" s="41"/>
      <c r="E229" s="19"/>
      <c r="F229" s="19"/>
      <c r="G229" s="19"/>
      <c r="H229" s="19"/>
      <c r="I229" s="41"/>
      <c r="J229" s="19"/>
      <c r="K229" s="19"/>
      <c r="L229" s="19"/>
      <c r="M229" s="19"/>
    </row>
    <row r="230" spans="1:13">
      <c r="A230" s="19"/>
      <c r="B230" s="19"/>
      <c r="C230" s="19"/>
      <c r="D230" s="41"/>
      <c r="E230" s="19"/>
      <c r="F230" s="19"/>
      <c r="G230" s="19"/>
      <c r="H230" s="19"/>
      <c r="I230" s="41"/>
      <c r="J230" s="19"/>
      <c r="K230" s="19"/>
      <c r="L230" s="19"/>
      <c r="M230" s="19"/>
    </row>
    <row r="231" spans="1:13">
      <c r="A231" s="19"/>
      <c r="B231" s="19"/>
      <c r="C231" s="19"/>
      <c r="D231" s="41"/>
      <c r="E231" s="19"/>
      <c r="F231" s="19"/>
      <c r="G231" s="19"/>
      <c r="H231" s="19"/>
      <c r="I231" s="41"/>
      <c r="J231" s="19"/>
      <c r="K231" s="19"/>
      <c r="L231" s="19"/>
      <c r="M231" s="19"/>
    </row>
    <row r="232" spans="1:13">
      <c r="A232" s="19"/>
      <c r="B232" s="19"/>
      <c r="C232" s="19"/>
      <c r="D232" s="41"/>
      <c r="E232" s="19"/>
      <c r="F232" s="19"/>
      <c r="G232" s="19"/>
      <c r="H232" s="19"/>
      <c r="I232" s="41"/>
      <c r="J232" s="19"/>
      <c r="K232" s="19"/>
      <c r="L232" s="19"/>
      <c r="M232" s="19"/>
    </row>
    <row r="233" spans="1:13">
      <c r="A233" s="19"/>
      <c r="B233" s="19"/>
      <c r="C233" s="19"/>
      <c r="D233" s="41"/>
      <c r="E233" s="19"/>
      <c r="F233" s="19"/>
      <c r="G233" s="19"/>
      <c r="H233" s="19"/>
      <c r="I233" s="41"/>
      <c r="J233" s="19"/>
      <c r="K233" s="19"/>
      <c r="L233" s="19"/>
      <c r="M233" s="19"/>
    </row>
    <row r="234" spans="1:13">
      <c r="A234" s="19"/>
      <c r="B234" s="19"/>
      <c r="C234" s="19"/>
      <c r="D234" s="41"/>
      <c r="E234" s="19"/>
      <c r="F234" s="19"/>
      <c r="G234" s="19"/>
      <c r="H234" s="19"/>
      <c r="I234" s="41"/>
      <c r="J234" s="19"/>
      <c r="K234" s="19"/>
      <c r="L234" s="19"/>
      <c r="M234" s="19"/>
    </row>
    <row r="235" spans="1:13">
      <c r="A235" s="19"/>
      <c r="B235" s="19"/>
      <c r="C235" s="19"/>
      <c r="D235" s="41"/>
      <c r="E235" s="19"/>
      <c r="F235" s="19"/>
      <c r="G235" s="19"/>
      <c r="H235" s="19"/>
      <c r="I235" s="41"/>
      <c r="J235" s="19"/>
      <c r="K235" s="19"/>
      <c r="L235" s="19"/>
      <c r="M235" s="19"/>
    </row>
    <row r="236" spans="1:13">
      <c r="A236" s="19"/>
      <c r="B236" s="19"/>
      <c r="C236" s="19"/>
      <c r="D236" s="41"/>
      <c r="E236" s="19"/>
      <c r="F236" s="19"/>
      <c r="G236" s="19"/>
      <c r="H236" s="19"/>
      <c r="I236" s="41"/>
      <c r="J236" s="19"/>
      <c r="K236" s="19"/>
      <c r="L236" s="19"/>
      <c r="M236" s="19"/>
    </row>
    <row r="237" spans="1:13">
      <c r="A237" s="19"/>
      <c r="B237" s="19"/>
      <c r="C237" s="19"/>
      <c r="D237" s="41"/>
      <c r="E237" s="19"/>
      <c r="F237" s="19"/>
      <c r="G237" s="19"/>
      <c r="H237" s="19"/>
      <c r="I237" s="41"/>
      <c r="J237" s="19"/>
      <c r="K237" s="19"/>
      <c r="L237" s="19"/>
      <c r="M237" s="19"/>
    </row>
    <row r="238" spans="1:13">
      <c r="A238" s="19"/>
      <c r="B238" s="19"/>
      <c r="C238" s="19"/>
      <c r="D238" s="41"/>
      <c r="E238" s="19"/>
      <c r="F238" s="19"/>
      <c r="G238" s="19"/>
      <c r="H238" s="19"/>
      <c r="I238" s="41"/>
      <c r="J238" s="19"/>
      <c r="K238" s="19"/>
      <c r="L238" s="19"/>
      <c r="M238" s="19"/>
    </row>
    <row r="239" spans="1:13">
      <c r="A239" s="19"/>
      <c r="B239" s="19"/>
      <c r="C239" s="19"/>
      <c r="D239" s="41"/>
      <c r="E239" s="19"/>
      <c r="F239" s="19"/>
      <c r="G239" s="19"/>
      <c r="H239" s="19"/>
      <c r="I239" s="41"/>
      <c r="J239" s="19"/>
      <c r="K239" s="19"/>
      <c r="L239" s="19"/>
      <c r="M239" s="19"/>
    </row>
    <row r="240" spans="1:13">
      <c r="A240" s="19"/>
      <c r="B240" s="19"/>
      <c r="C240" s="19"/>
      <c r="D240" s="41"/>
      <c r="E240" s="19"/>
      <c r="F240" s="19"/>
      <c r="G240" s="19"/>
      <c r="H240" s="19"/>
      <c r="I240" s="41"/>
      <c r="J240" s="19"/>
      <c r="K240" s="19"/>
      <c r="L240" s="19"/>
      <c r="M240" s="19"/>
    </row>
    <row r="241" spans="1:13">
      <c r="A241" s="19"/>
      <c r="B241" s="19"/>
      <c r="C241" s="19"/>
      <c r="D241" s="41"/>
      <c r="E241" s="19"/>
      <c r="F241" s="19"/>
      <c r="G241" s="19"/>
      <c r="H241" s="19"/>
      <c r="I241" s="41"/>
      <c r="J241" s="19"/>
      <c r="K241" s="19"/>
      <c r="L241" s="19"/>
      <c r="M241" s="19"/>
    </row>
    <row r="242" spans="1:13">
      <c r="A242" s="19"/>
      <c r="B242" s="19"/>
      <c r="C242" s="19"/>
      <c r="D242" s="41"/>
      <c r="E242" s="19"/>
      <c r="F242" s="19"/>
      <c r="G242" s="19"/>
      <c r="H242" s="19"/>
      <c r="I242" s="41"/>
      <c r="J242" s="19"/>
      <c r="K242" s="19"/>
      <c r="L242" s="19"/>
      <c r="M242" s="19"/>
    </row>
    <row r="243" spans="1:13">
      <c r="A243" s="19"/>
      <c r="B243" s="19"/>
      <c r="C243" s="19"/>
      <c r="D243" s="41"/>
      <c r="E243" s="19"/>
      <c r="F243" s="19"/>
      <c r="G243" s="19"/>
      <c r="H243" s="19"/>
      <c r="I243" s="41"/>
      <c r="J243" s="19"/>
      <c r="K243" s="19"/>
      <c r="L243" s="19"/>
      <c r="M243" s="19"/>
    </row>
    <row r="244" spans="1:13">
      <c r="A244" s="19"/>
      <c r="B244" s="19"/>
      <c r="C244" s="19"/>
      <c r="D244" s="41"/>
      <c r="E244" s="19"/>
      <c r="F244" s="19"/>
      <c r="G244" s="19"/>
      <c r="H244" s="19"/>
      <c r="I244" s="41"/>
      <c r="J244" s="19"/>
      <c r="K244" s="19"/>
      <c r="L244" s="19"/>
      <c r="M244" s="19"/>
    </row>
    <row r="245" spans="1:13">
      <c r="A245" s="19"/>
      <c r="B245" s="19"/>
      <c r="C245" s="19"/>
      <c r="D245" s="41"/>
      <c r="E245" s="19"/>
      <c r="F245" s="19"/>
      <c r="G245" s="19"/>
      <c r="H245" s="19"/>
      <c r="I245" s="41"/>
      <c r="J245" s="19"/>
      <c r="K245" s="19"/>
      <c r="L245" s="19"/>
      <c r="M245" s="19"/>
    </row>
    <row r="246" spans="1:13">
      <c r="A246" s="19"/>
      <c r="B246" s="19"/>
      <c r="C246" s="19"/>
      <c r="D246" s="41"/>
      <c r="E246" s="19"/>
      <c r="F246" s="19"/>
      <c r="G246" s="19"/>
      <c r="H246" s="19"/>
      <c r="I246" s="41"/>
      <c r="J246" s="19"/>
      <c r="K246" s="19"/>
      <c r="L246" s="19"/>
      <c r="M246" s="19"/>
    </row>
    <row r="247" spans="1:13">
      <c r="A247" s="19"/>
      <c r="B247" s="19"/>
      <c r="C247" s="19"/>
      <c r="D247" s="41"/>
      <c r="E247" s="19"/>
      <c r="F247" s="19"/>
      <c r="G247" s="19"/>
      <c r="H247" s="19"/>
      <c r="I247" s="41"/>
      <c r="J247" s="19"/>
      <c r="K247" s="19"/>
      <c r="L247" s="19"/>
      <c r="M247" s="19"/>
    </row>
    <row r="248" spans="1:13">
      <c r="A248" s="19"/>
      <c r="B248" s="19"/>
      <c r="C248" s="19"/>
      <c r="D248" s="41"/>
      <c r="E248" s="19"/>
      <c r="F248" s="19"/>
      <c r="G248" s="19"/>
      <c r="H248" s="19"/>
      <c r="I248" s="41"/>
      <c r="J248" s="19"/>
      <c r="K248" s="19"/>
      <c r="L248" s="19"/>
      <c r="M248" s="19"/>
    </row>
    <row r="249" spans="1:13">
      <c r="A249" s="19"/>
      <c r="B249" s="19"/>
      <c r="C249" s="19"/>
      <c r="D249" s="41"/>
      <c r="E249" s="19"/>
      <c r="F249" s="19"/>
      <c r="G249" s="19"/>
      <c r="H249" s="19"/>
      <c r="I249" s="41"/>
      <c r="J249" s="19"/>
      <c r="K249" s="19"/>
      <c r="L249" s="19"/>
      <c r="M249" s="19"/>
    </row>
    <row r="250" spans="1:13">
      <c r="A250" s="19"/>
      <c r="B250" s="19"/>
      <c r="C250" s="19"/>
      <c r="D250" s="41"/>
      <c r="E250" s="19"/>
      <c r="F250" s="19"/>
      <c r="G250" s="19"/>
      <c r="H250" s="19"/>
      <c r="I250" s="41"/>
      <c r="J250" s="19"/>
      <c r="K250" s="19"/>
      <c r="L250" s="19"/>
      <c r="M250" s="19"/>
    </row>
    <row r="251" spans="1:13">
      <c r="A251" s="19"/>
      <c r="B251" s="19"/>
      <c r="C251" s="19"/>
      <c r="D251" s="41"/>
      <c r="E251" s="19"/>
      <c r="F251" s="19"/>
      <c r="G251" s="19"/>
      <c r="H251" s="19"/>
      <c r="I251" s="41"/>
      <c r="J251" s="19"/>
      <c r="K251" s="19"/>
      <c r="L251" s="19"/>
      <c r="M251" s="19"/>
    </row>
    <row r="252" spans="1:13">
      <c r="A252" s="19"/>
      <c r="B252" s="19"/>
      <c r="C252" s="19"/>
      <c r="D252" s="41"/>
      <c r="E252" s="19"/>
      <c r="F252" s="19"/>
      <c r="G252" s="19"/>
      <c r="H252" s="19"/>
      <c r="I252" s="41"/>
      <c r="J252" s="19"/>
      <c r="K252" s="19"/>
      <c r="L252" s="19"/>
      <c r="M252" s="19"/>
    </row>
    <row r="253" spans="1:13">
      <c r="A253" s="19"/>
      <c r="B253" s="19"/>
      <c r="C253" s="19"/>
      <c r="D253" s="41"/>
      <c r="E253" s="19"/>
      <c r="F253" s="19"/>
      <c r="G253" s="19"/>
      <c r="H253" s="19"/>
      <c r="I253" s="41"/>
      <c r="J253" s="19"/>
      <c r="K253" s="19"/>
      <c r="L253" s="19"/>
      <c r="M253" s="19"/>
    </row>
    <row r="254" spans="1:13">
      <c r="A254" s="19"/>
      <c r="B254" s="19"/>
      <c r="C254" s="19"/>
      <c r="D254" s="41"/>
      <c r="E254" s="19"/>
      <c r="F254" s="19"/>
      <c r="G254" s="19"/>
      <c r="H254" s="19"/>
      <c r="I254" s="41"/>
      <c r="J254" s="19"/>
      <c r="K254" s="19"/>
      <c r="L254" s="19"/>
      <c r="M254" s="19"/>
    </row>
    <row r="255" spans="1:13">
      <c r="A255" s="19"/>
      <c r="B255" s="19"/>
      <c r="C255" s="19"/>
      <c r="D255" s="41"/>
      <c r="E255" s="19"/>
      <c r="F255" s="19"/>
      <c r="G255" s="19"/>
      <c r="H255" s="19"/>
      <c r="I255" s="41"/>
      <c r="J255" s="19"/>
      <c r="K255" s="19"/>
      <c r="L255" s="19"/>
      <c r="M255" s="19"/>
    </row>
    <row r="256" spans="1:13">
      <c r="A256" s="19"/>
      <c r="B256" s="19"/>
      <c r="C256" s="19"/>
      <c r="D256" s="41"/>
      <c r="E256" s="19"/>
      <c r="F256" s="19"/>
      <c r="G256" s="19"/>
      <c r="H256" s="19"/>
      <c r="I256" s="41"/>
      <c r="J256" s="19"/>
      <c r="K256" s="19"/>
      <c r="L256" s="19"/>
      <c r="M256" s="19"/>
    </row>
    <row r="257" spans="1:13">
      <c r="A257" s="19"/>
      <c r="B257" s="19"/>
      <c r="C257" s="19"/>
      <c r="D257" s="41"/>
      <c r="E257" s="19"/>
      <c r="F257" s="19"/>
      <c r="G257" s="19"/>
      <c r="H257" s="19"/>
      <c r="I257" s="41"/>
      <c r="J257" s="19"/>
      <c r="K257" s="19"/>
      <c r="L257" s="19"/>
      <c r="M257" s="19"/>
    </row>
    <row r="258" spans="1:13">
      <c r="A258" s="19"/>
      <c r="B258" s="19"/>
      <c r="C258" s="19"/>
      <c r="D258" s="41"/>
      <c r="E258" s="19"/>
      <c r="F258" s="19"/>
      <c r="G258" s="19"/>
      <c r="H258" s="19"/>
      <c r="I258" s="41"/>
      <c r="J258" s="19"/>
      <c r="K258" s="19"/>
      <c r="L258" s="19"/>
      <c r="M258" s="19"/>
    </row>
    <row r="259" spans="1:13">
      <c r="A259" s="19"/>
      <c r="B259" s="19"/>
      <c r="C259" s="19"/>
      <c r="D259" s="41"/>
      <c r="E259" s="19"/>
      <c r="F259" s="19"/>
      <c r="G259" s="19"/>
      <c r="H259" s="19"/>
      <c r="I259" s="41"/>
      <c r="J259" s="19"/>
      <c r="K259" s="19"/>
      <c r="L259" s="19"/>
      <c r="M259" s="19"/>
    </row>
    <row r="260" spans="1:13">
      <c r="A260" s="19"/>
      <c r="B260" s="19"/>
      <c r="C260" s="19"/>
      <c r="D260" s="41"/>
      <c r="E260" s="19"/>
      <c r="F260" s="19"/>
      <c r="G260" s="19"/>
      <c r="H260" s="19"/>
      <c r="I260" s="41"/>
      <c r="J260" s="19"/>
      <c r="K260" s="19"/>
      <c r="L260" s="19"/>
      <c r="M260" s="19"/>
    </row>
    <row r="261" spans="1:13">
      <c r="A261" s="19"/>
      <c r="B261" s="19"/>
      <c r="C261" s="19"/>
      <c r="D261" s="41"/>
      <c r="E261" s="19"/>
      <c r="F261" s="19"/>
      <c r="G261" s="19"/>
      <c r="H261" s="19"/>
      <c r="I261" s="41"/>
      <c r="J261" s="19"/>
      <c r="K261" s="19"/>
      <c r="L261" s="19"/>
      <c r="M261" s="19"/>
    </row>
    <row r="262" spans="1:13">
      <c r="A262" s="19"/>
      <c r="B262" s="19"/>
      <c r="C262" s="19"/>
      <c r="D262" s="41"/>
      <c r="E262" s="19"/>
      <c r="F262" s="19"/>
      <c r="G262" s="19"/>
      <c r="H262" s="19"/>
      <c r="I262" s="41"/>
      <c r="J262" s="19"/>
      <c r="K262" s="19"/>
      <c r="L262" s="19"/>
      <c r="M262" s="19"/>
    </row>
    <row r="263" spans="1:13">
      <c r="A263" s="19"/>
      <c r="B263" s="19"/>
      <c r="C263" s="19"/>
      <c r="D263" s="41"/>
      <c r="E263" s="19"/>
      <c r="F263" s="19"/>
      <c r="G263" s="19"/>
      <c r="H263" s="19"/>
      <c r="I263" s="41"/>
      <c r="J263" s="19"/>
      <c r="K263" s="19"/>
      <c r="L263" s="19"/>
      <c r="M263" s="19"/>
    </row>
    <row r="264" spans="1:13">
      <c r="A264" s="19"/>
      <c r="B264" s="19"/>
      <c r="C264" s="19"/>
      <c r="D264" s="41"/>
      <c r="E264" s="19"/>
      <c r="F264" s="19"/>
      <c r="G264" s="19"/>
      <c r="H264" s="19"/>
      <c r="I264" s="41"/>
      <c r="J264" s="19"/>
      <c r="K264" s="19"/>
      <c r="L264" s="19"/>
      <c r="M264" s="19"/>
    </row>
    <row r="265" spans="1:13">
      <c r="A265" s="19"/>
      <c r="B265" s="19"/>
      <c r="C265" s="19"/>
      <c r="D265" s="41"/>
      <c r="E265" s="19"/>
      <c r="F265" s="19"/>
      <c r="G265" s="19"/>
      <c r="H265" s="19"/>
      <c r="I265" s="41"/>
      <c r="J265" s="19"/>
      <c r="K265" s="19"/>
      <c r="L265" s="19"/>
      <c r="M265" s="19"/>
    </row>
    <row r="266" spans="1:13">
      <c r="A266" s="19"/>
      <c r="B266" s="19"/>
      <c r="C266" s="19"/>
      <c r="D266" s="41"/>
      <c r="E266" s="19"/>
      <c r="F266" s="19"/>
      <c r="G266" s="19"/>
      <c r="H266" s="19"/>
      <c r="I266" s="41"/>
      <c r="J266" s="19"/>
      <c r="K266" s="19"/>
      <c r="L266" s="19"/>
      <c r="M266" s="19"/>
    </row>
    <row r="267" spans="1:13">
      <c r="A267" s="19"/>
      <c r="B267" s="19"/>
      <c r="C267" s="19"/>
      <c r="D267" s="41"/>
      <c r="E267" s="19"/>
      <c r="F267" s="19"/>
      <c r="G267" s="19"/>
      <c r="H267" s="19"/>
      <c r="I267" s="41"/>
      <c r="J267" s="19"/>
      <c r="K267" s="19"/>
      <c r="L267" s="19"/>
      <c r="M267" s="19"/>
    </row>
    <row r="268" spans="1:13">
      <c r="A268" s="19"/>
      <c r="B268" s="19"/>
      <c r="C268" s="19"/>
      <c r="D268" s="41"/>
      <c r="E268" s="19"/>
      <c r="F268" s="19"/>
      <c r="G268" s="19"/>
      <c r="H268" s="19"/>
      <c r="I268" s="41"/>
      <c r="J268" s="19"/>
      <c r="K268" s="19"/>
      <c r="L268" s="19"/>
      <c r="M268" s="19"/>
    </row>
    <row r="269" spans="1:13">
      <c r="A269" s="19"/>
      <c r="B269" s="19"/>
      <c r="C269" s="19"/>
      <c r="D269" s="41"/>
      <c r="E269" s="19"/>
      <c r="F269" s="19"/>
      <c r="G269" s="19"/>
      <c r="H269" s="19"/>
      <c r="I269" s="41"/>
      <c r="J269" s="19"/>
      <c r="K269" s="19"/>
      <c r="L269" s="19"/>
      <c r="M269" s="19"/>
    </row>
    <row r="270" spans="1:13">
      <c r="A270" s="19"/>
      <c r="B270" s="19"/>
      <c r="C270" s="19"/>
      <c r="D270" s="41"/>
      <c r="E270" s="19"/>
      <c r="F270" s="19"/>
      <c r="G270" s="19"/>
      <c r="H270" s="19"/>
      <c r="I270" s="41"/>
      <c r="J270" s="19"/>
      <c r="K270" s="19"/>
      <c r="L270" s="19"/>
      <c r="M270" s="19"/>
    </row>
    <row r="271" spans="1:13">
      <c r="A271" s="19"/>
      <c r="B271" s="19"/>
      <c r="C271" s="19"/>
      <c r="D271" s="41"/>
      <c r="E271" s="19"/>
      <c r="F271" s="19"/>
      <c r="G271" s="19"/>
      <c r="H271" s="19"/>
      <c r="I271" s="41"/>
      <c r="J271" s="19"/>
      <c r="K271" s="19"/>
      <c r="L271" s="19"/>
      <c r="M271" s="19"/>
    </row>
    <row r="272" spans="1:13">
      <c r="A272" s="19"/>
      <c r="B272" s="19"/>
      <c r="C272" s="19"/>
      <c r="D272" s="41"/>
      <c r="E272" s="19"/>
      <c r="F272" s="19"/>
      <c r="G272" s="19"/>
      <c r="H272" s="19"/>
      <c r="I272" s="41"/>
      <c r="J272" s="19"/>
      <c r="K272" s="19"/>
      <c r="L272" s="19"/>
      <c r="M272" s="19"/>
    </row>
    <row r="273" spans="1:13">
      <c r="A273" s="19"/>
      <c r="B273" s="19"/>
      <c r="C273" s="19"/>
      <c r="D273" s="41"/>
      <c r="E273" s="19"/>
      <c r="F273" s="19"/>
      <c r="G273" s="19"/>
      <c r="H273" s="19"/>
      <c r="I273" s="41"/>
      <c r="J273" s="19"/>
      <c r="K273" s="19"/>
      <c r="L273" s="19"/>
      <c r="M273" s="19"/>
    </row>
    <row r="274" spans="1:13">
      <c r="A274" s="19"/>
      <c r="B274" s="19"/>
      <c r="C274" s="19"/>
      <c r="D274" s="41"/>
      <c r="E274" s="19"/>
      <c r="F274" s="19"/>
      <c r="G274" s="19"/>
      <c r="H274" s="19"/>
      <c r="I274" s="41"/>
      <c r="J274" s="19"/>
      <c r="K274" s="19"/>
      <c r="L274" s="19"/>
      <c r="M274" s="19"/>
    </row>
    <row r="275" spans="1:13">
      <c r="A275" s="19"/>
      <c r="B275" s="19"/>
      <c r="C275" s="19"/>
      <c r="D275" s="41"/>
      <c r="E275" s="19"/>
      <c r="F275" s="19"/>
      <c r="G275" s="19"/>
      <c r="H275" s="19"/>
      <c r="I275" s="41"/>
      <c r="J275" s="19"/>
      <c r="K275" s="19"/>
      <c r="L275" s="19"/>
      <c r="M275" s="19"/>
    </row>
    <row r="276" spans="1:13">
      <c r="A276" s="19"/>
      <c r="B276" s="19"/>
      <c r="C276" s="19"/>
      <c r="D276" s="41"/>
      <c r="E276" s="19"/>
      <c r="F276" s="19"/>
      <c r="G276" s="19"/>
      <c r="H276" s="19"/>
      <c r="I276" s="41"/>
      <c r="J276" s="19"/>
      <c r="K276" s="19"/>
      <c r="L276" s="19"/>
      <c r="M276" s="19"/>
    </row>
    <row r="277" spans="1:13">
      <c r="A277" s="19"/>
      <c r="B277" s="19"/>
      <c r="C277" s="19"/>
      <c r="D277" s="41"/>
      <c r="E277" s="19"/>
      <c r="F277" s="19"/>
      <c r="G277" s="19"/>
      <c r="H277" s="19"/>
      <c r="I277" s="41"/>
      <c r="J277" s="19"/>
      <c r="K277" s="19"/>
      <c r="L277" s="19"/>
      <c r="M277" s="19"/>
    </row>
    <row r="278" spans="1:13">
      <c r="A278" s="19"/>
      <c r="B278" s="19"/>
      <c r="C278" s="19"/>
      <c r="D278" s="41"/>
      <c r="E278" s="19"/>
      <c r="F278" s="19"/>
      <c r="G278" s="19"/>
      <c r="H278" s="19"/>
      <c r="I278" s="41"/>
      <c r="J278" s="19"/>
      <c r="K278" s="19"/>
      <c r="L278" s="19"/>
      <c r="M278" s="19"/>
    </row>
    <row r="279" spans="1:13">
      <c r="A279" s="19"/>
      <c r="B279" s="19"/>
      <c r="C279" s="19"/>
      <c r="D279" s="41"/>
      <c r="E279" s="19"/>
      <c r="F279" s="19"/>
      <c r="G279" s="19"/>
      <c r="H279" s="19"/>
      <c r="I279" s="41"/>
      <c r="J279" s="19"/>
      <c r="K279" s="19"/>
      <c r="L279" s="19"/>
      <c r="M279" s="19"/>
    </row>
    <row r="280" spans="1:13">
      <c r="A280" s="19"/>
      <c r="B280" s="19"/>
      <c r="C280" s="19"/>
      <c r="D280" s="41"/>
      <c r="E280" s="19"/>
      <c r="F280" s="19"/>
      <c r="G280" s="19"/>
      <c r="H280" s="19"/>
      <c r="I280" s="41"/>
      <c r="J280" s="19"/>
      <c r="K280" s="19"/>
      <c r="L280" s="19"/>
      <c r="M280" s="19"/>
    </row>
    <row r="281" spans="1:13">
      <c r="A281" s="19"/>
      <c r="B281" s="19"/>
      <c r="C281" s="19"/>
      <c r="D281" s="41"/>
      <c r="E281" s="19"/>
      <c r="F281" s="19"/>
      <c r="G281" s="19"/>
      <c r="H281" s="19"/>
      <c r="I281" s="41"/>
      <c r="J281" s="19"/>
      <c r="K281" s="19"/>
      <c r="L281" s="19"/>
      <c r="M281" s="19"/>
    </row>
    <row r="282" spans="1:13">
      <c r="A282" s="19"/>
      <c r="B282" s="19"/>
      <c r="C282" s="19"/>
      <c r="D282" s="41"/>
      <c r="E282" s="19"/>
      <c r="F282" s="19"/>
      <c r="G282" s="19"/>
      <c r="H282" s="19"/>
      <c r="I282" s="41"/>
      <c r="J282" s="19"/>
      <c r="K282" s="19"/>
      <c r="L282" s="19"/>
      <c r="M282" s="19"/>
    </row>
    <row r="283" spans="1:13">
      <c r="A283" s="19"/>
      <c r="B283" s="19"/>
      <c r="C283" s="19"/>
      <c r="D283" s="41"/>
      <c r="E283" s="19"/>
      <c r="F283" s="19"/>
      <c r="G283" s="19"/>
      <c r="H283" s="19"/>
      <c r="I283" s="41"/>
      <c r="J283" s="19"/>
      <c r="K283" s="19"/>
      <c r="L283" s="19"/>
      <c r="M283" s="19"/>
    </row>
    <row r="284" spans="1:13">
      <c r="A284" s="19"/>
      <c r="B284" s="19"/>
      <c r="C284" s="19"/>
      <c r="D284" s="41"/>
      <c r="E284" s="19"/>
      <c r="F284" s="19"/>
      <c r="G284" s="19"/>
      <c r="H284" s="19"/>
      <c r="I284" s="41"/>
      <c r="J284" s="19"/>
      <c r="K284" s="19"/>
      <c r="L284" s="19"/>
      <c r="M284" s="19"/>
    </row>
    <row r="285" spans="1:13">
      <c r="A285" s="19"/>
      <c r="B285" s="19"/>
      <c r="C285" s="19"/>
      <c r="D285" s="41"/>
      <c r="E285" s="19"/>
      <c r="F285" s="19"/>
      <c r="G285" s="19"/>
      <c r="H285" s="19"/>
      <c r="I285" s="41"/>
      <c r="J285" s="19"/>
      <c r="K285" s="19"/>
      <c r="L285" s="19"/>
      <c r="M285" s="19"/>
    </row>
    <row r="286" spans="1:13">
      <c r="A286" s="19"/>
      <c r="B286" s="19"/>
      <c r="C286" s="19"/>
      <c r="D286" s="41"/>
      <c r="E286" s="19"/>
      <c r="F286" s="19"/>
      <c r="G286" s="19"/>
      <c r="H286" s="19"/>
      <c r="I286" s="41"/>
      <c r="J286" s="19"/>
      <c r="K286" s="19"/>
      <c r="L286" s="19"/>
      <c r="M286" s="19"/>
    </row>
    <row r="287" spans="1:13">
      <c r="A287" s="19"/>
      <c r="B287" s="19"/>
      <c r="C287" s="19"/>
      <c r="D287" s="41"/>
      <c r="E287" s="19"/>
      <c r="F287" s="19"/>
      <c r="G287" s="19"/>
      <c r="H287" s="19"/>
      <c r="I287" s="41"/>
      <c r="J287" s="19"/>
      <c r="K287" s="19"/>
      <c r="L287" s="19"/>
      <c r="M287" s="19"/>
    </row>
    <row r="288" spans="1:13">
      <c r="A288" s="19"/>
      <c r="B288" s="19"/>
      <c r="C288" s="19"/>
      <c r="D288" s="41"/>
      <c r="E288" s="19"/>
      <c r="F288" s="19"/>
      <c r="G288" s="19"/>
      <c r="H288" s="19"/>
      <c r="I288" s="41"/>
      <c r="J288" s="19"/>
      <c r="K288" s="19"/>
      <c r="L288" s="19"/>
      <c r="M288" s="19"/>
    </row>
    <row r="289" spans="1:13">
      <c r="A289" s="19"/>
      <c r="B289" s="19"/>
      <c r="C289" s="19"/>
      <c r="D289" s="41"/>
      <c r="E289" s="19"/>
      <c r="F289" s="19"/>
      <c r="G289" s="19"/>
      <c r="H289" s="19"/>
      <c r="I289" s="41"/>
      <c r="J289" s="19"/>
      <c r="K289" s="19"/>
      <c r="L289" s="19"/>
      <c r="M289" s="19"/>
    </row>
  </sheetData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EA9B8-911B-438C-B05F-0570080D8382}">
  <sheetPr codeName="Sheet8"/>
  <dimension ref="A1:F1"/>
  <sheetViews>
    <sheetView workbookViewId="0">
      <pane ySplit="1" topLeftCell="A2" activePane="bottomLeft" state="frozen"/>
      <selection pane="bottomLeft" activeCell="D36" sqref="D36:D37"/>
    </sheetView>
  </sheetViews>
  <sheetFormatPr defaultColWidth="8.85546875" defaultRowHeight="15.75"/>
  <cols>
    <col min="1" max="1" width="18.28515625" style="3" customWidth="1"/>
    <col min="2" max="2" width="26.140625" style="3" customWidth="1"/>
    <col min="3" max="3" width="25.5703125" style="3" customWidth="1"/>
    <col min="4" max="4" width="69.85546875" style="3" customWidth="1"/>
    <col min="5" max="5" width="34.7109375" style="3" customWidth="1"/>
    <col min="6" max="6" width="17.140625" style="3" customWidth="1"/>
    <col min="7" max="16384" width="8.85546875" style="3"/>
  </cols>
  <sheetData>
    <row r="1" spans="1:6" s="1" customFormat="1">
      <c r="A1" s="30" t="s">
        <v>29</v>
      </c>
      <c r="B1" s="30" t="s">
        <v>31</v>
      </c>
      <c r="C1" s="30" t="s">
        <v>39</v>
      </c>
      <c r="D1" s="30" t="s">
        <v>30</v>
      </c>
      <c r="E1" s="30" t="s">
        <v>32</v>
      </c>
      <c r="F1" s="1" t="s">
        <v>116</v>
      </c>
    </row>
  </sheetData>
  <phoneticPr fontId="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22209-8CB7-4953-9B77-197013AB224C}">
  <sheetPr codeName="Sheet9"/>
  <dimension ref="A1:E3"/>
  <sheetViews>
    <sheetView workbookViewId="0">
      <pane ySplit="3" topLeftCell="A4" activePane="bottomLeft" state="frozen"/>
      <selection pane="bottomLeft" activeCell="A4" sqref="A4"/>
    </sheetView>
  </sheetViews>
  <sheetFormatPr defaultRowHeight="15"/>
  <cols>
    <col min="1" max="1" width="21" bestFit="1" customWidth="1"/>
    <col min="2" max="2" width="8.7109375" bestFit="1" customWidth="1"/>
    <col min="3" max="3" width="21" bestFit="1" customWidth="1"/>
    <col min="4" max="4" width="16.140625" bestFit="1" customWidth="1"/>
    <col min="5" max="5" width="59.140625" style="189" bestFit="1" customWidth="1"/>
    <col min="6" max="6" width="12.28515625" bestFit="1" customWidth="1"/>
    <col min="7" max="7" width="11.28515625" bestFit="1" customWidth="1"/>
    <col min="8" max="8" width="91.85546875" bestFit="1" customWidth="1"/>
    <col min="9" max="9" width="75.28515625" bestFit="1" customWidth="1"/>
    <col min="10" max="10" width="73.85546875" bestFit="1" customWidth="1"/>
    <col min="11" max="11" width="31.7109375" bestFit="1" customWidth="1"/>
    <col min="12" max="12" width="30.28515625" bestFit="1" customWidth="1"/>
  </cols>
  <sheetData>
    <row r="1" spans="1:5">
      <c r="A1" s="15" t="s">
        <v>38</v>
      </c>
    </row>
    <row r="3" spans="1:5" s="15" customFormat="1">
      <c r="A3" s="15" t="s">
        <v>33</v>
      </c>
      <c r="B3" s="15" t="s">
        <v>34</v>
      </c>
      <c r="C3" s="15" t="s">
        <v>35</v>
      </c>
      <c r="D3" s="15" t="s">
        <v>36</v>
      </c>
      <c r="E3" s="190" t="s">
        <v>37</v>
      </c>
    </row>
  </sheetData>
  <phoneticPr fontId="9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D66723-D447-4156-B35B-7693B4F418C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Instructions</vt:lpstr>
      <vt:lpstr>Summary_for print</vt:lpstr>
      <vt:lpstr>Summary</vt:lpstr>
      <vt:lpstr>Trading Report</vt:lpstr>
      <vt:lpstr>MQ</vt:lpstr>
      <vt:lpstr>TA</vt:lpstr>
      <vt:lpstr>Compliance</vt:lpstr>
      <vt:lpstr>RTD Sched &amp; Prices</vt:lpstr>
      <vt:lpstr>Bid Log</vt:lpstr>
      <vt:lpstr>MPI</vt:lpstr>
      <vt:lpstr>MQ!Print_Area</vt:lpstr>
      <vt:lpstr>'Summary_for print'!Print_Area</vt:lpstr>
      <vt:lpstr>TA!Print_Area</vt:lpstr>
      <vt:lpstr>'Trading Report'!Print_Area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PENG</dc:creator>
  <cp:lastModifiedBy>Merdan Dipasupil</cp:lastModifiedBy>
  <cp:lastPrinted>2023-01-20T07:21:20Z</cp:lastPrinted>
  <dcterms:created xsi:type="dcterms:W3CDTF">2022-10-13T08:25:00Z</dcterms:created>
  <dcterms:modified xsi:type="dcterms:W3CDTF">2025-11-18T23:54:43Z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2F1EFC61149B4EADB907FAC172FFD0C1</vt:lpwstr>
  </property>
  <property fmtid="{D5CDD505-2E9C-101B-9397-08002B2CF9AE}" pid="3" name="KSOProductBuildVer">
    <vt:lpwstr>2052-11.1.0.11875</vt:lpwstr>
  </property>
</Properties>
</file>